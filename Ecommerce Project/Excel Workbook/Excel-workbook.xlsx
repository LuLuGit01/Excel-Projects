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Ecommerce Project\Excel Workbook\"/>
    </mc:Choice>
  </mc:AlternateContent>
  <xr:revisionPtr revIDLastSave="0" documentId="13_ncr:1_{737A2F69-FAAC-40E3-961E-88576D024F43}" xr6:coauthVersionLast="47" xr6:coauthVersionMax="47" xr10:uidLastSave="{00000000-0000-0000-0000-000000000000}"/>
  <bookViews>
    <workbookView xWindow="-120" yWindow="-120" windowWidth="20730" windowHeight="11040" xr2:uid="{346724B3-1C49-40AE-AA36-C77CF5D6DD09}"/>
  </bookViews>
  <sheets>
    <sheet name="Questions &amp; KPIs" sheetId="2" r:id="rId1"/>
    <sheet name="Data" sheetId="1" r:id="rId2"/>
    <sheet name="Dashboard" sheetId="3" r:id="rId3"/>
    <sheet name="Pivots" sheetId="5" r:id="rId4"/>
    <sheet name="Sheet4" sheetId="8" r:id="rId5"/>
    <sheet name="Sheet5" sheetId="9" r:id="rId6"/>
    <sheet name="Sheet6" sheetId="10" r:id="rId7"/>
    <sheet name="Sheet7" sheetId="13" r:id="rId8"/>
  </sheets>
  <definedNames>
    <definedName name="_xlchart.v5.0" hidden="1">Sheet6!$G$32:$H$32</definedName>
    <definedName name="_xlchart.v5.1" hidden="1">Sheet6!$G$33:$H$90</definedName>
    <definedName name="_xlchart.v5.2" hidden="1">Sheet6!$I$32</definedName>
    <definedName name="_xlchart.v5.3" hidden="1">Sheet6!$I$33:$I$90</definedName>
    <definedName name="_xlchart.v5.4" hidden="1">Sheet6!$N$32:$O$32</definedName>
    <definedName name="_xlchart.v5.5" hidden="1">Sheet6!$N$33:$O$90</definedName>
    <definedName name="_xlchart.v5.6" hidden="1">Sheet6!$P$32</definedName>
    <definedName name="_xlchart.v5.7" hidden="1">Sheet6!$P$33:$P$90</definedName>
    <definedName name="Slicer_Gender_Value">#N/A</definedName>
    <definedName name="Slicer_Order_Mode">#N/A</definedName>
  </definedNames>
  <calcPr calcId="191029"/>
  <pivotCaches>
    <pivotCache cacheId="2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4" i="10" l="1"/>
  <c r="O34" i="10"/>
  <c r="N35" i="10"/>
  <c r="O35" i="10"/>
  <c r="N36" i="10"/>
  <c r="O36" i="10"/>
  <c r="N37" i="10"/>
  <c r="O37" i="10"/>
  <c r="N38" i="10"/>
  <c r="O38" i="10"/>
  <c r="N39" i="10"/>
  <c r="O39" i="10"/>
  <c r="N40" i="10"/>
  <c r="O40" i="10"/>
  <c r="N41" i="10"/>
  <c r="O41" i="10"/>
  <c r="N42" i="10"/>
  <c r="O42" i="10"/>
  <c r="N43" i="10"/>
  <c r="O43" i="10"/>
  <c r="N44" i="10"/>
  <c r="O44" i="10"/>
  <c r="N45" i="10"/>
  <c r="O45" i="10"/>
  <c r="N46" i="10"/>
  <c r="O46" i="10"/>
  <c r="N47" i="10"/>
  <c r="O47" i="10"/>
  <c r="N48" i="10"/>
  <c r="O48" i="10"/>
  <c r="N49" i="10"/>
  <c r="O49" i="10"/>
  <c r="N50" i="10"/>
  <c r="O50" i="10"/>
  <c r="N51" i="10"/>
  <c r="O51" i="10"/>
  <c r="N52" i="10"/>
  <c r="O52" i="10"/>
  <c r="N53" i="10"/>
  <c r="O53" i="10"/>
  <c r="N54" i="10"/>
  <c r="O54" i="10"/>
  <c r="N55" i="10"/>
  <c r="O55" i="10"/>
  <c r="N56" i="10"/>
  <c r="O56" i="10"/>
  <c r="N57" i="10"/>
  <c r="O57" i="10"/>
  <c r="N58" i="10"/>
  <c r="O58" i="10"/>
  <c r="N59" i="10"/>
  <c r="O59" i="10"/>
  <c r="N60" i="10"/>
  <c r="O60" i="10"/>
  <c r="N61" i="10"/>
  <c r="O61" i="10"/>
  <c r="N62" i="10"/>
  <c r="O62" i="10"/>
  <c r="N63" i="10"/>
  <c r="O63" i="10"/>
  <c r="N64" i="10"/>
  <c r="O64" i="10"/>
  <c r="N65" i="10"/>
  <c r="O65" i="10"/>
  <c r="N66" i="10"/>
  <c r="O66" i="10"/>
  <c r="N67" i="10"/>
  <c r="O67" i="10"/>
  <c r="N68" i="10"/>
  <c r="O68" i="10"/>
  <c r="N69" i="10"/>
  <c r="O69" i="10"/>
  <c r="N70" i="10"/>
  <c r="O70" i="10"/>
  <c r="N71" i="10"/>
  <c r="O71" i="10"/>
  <c r="N72" i="10"/>
  <c r="O72" i="10"/>
  <c r="N73" i="10"/>
  <c r="O73" i="10"/>
  <c r="N74" i="10"/>
  <c r="O74" i="10"/>
  <c r="N75" i="10"/>
  <c r="O75" i="10"/>
  <c r="N76" i="10"/>
  <c r="O76" i="10"/>
  <c r="N77" i="10"/>
  <c r="O77" i="10"/>
  <c r="N78" i="10"/>
  <c r="O78" i="10"/>
  <c r="N79" i="10"/>
  <c r="O79" i="10"/>
  <c r="N80" i="10"/>
  <c r="O80" i="10"/>
  <c r="N81" i="10"/>
  <c r="O81" i="10"/>
  <c r="N82" i="10"/>
  <c r="O82" i="10"/>
  <c r="N83" i="10"/>
  <c r="O83" i="10"/>
  <c r="N84" i="10"/>
  <c r="O84" i="10"/>
  <c r="N85" i="10"/>
  <c r="O85" i="10"/>
  <c r="N86" i="10"/>
  <c r="O86" i="10"/>
  <c r="N87" i="10"/>
  <c r="O87" i="10"/>
  <c r="N88" i="10"/>
  <c r="O88" i="10"/>
  <c r="N89" i="10"/>
  <c r="O89" i="10"/>
  <c r="N90" i="10"/>
  <c r="O90" i="10"/>
  <c r="O33" i="10"/>
  <c r="N33" i="10"/>
  <c r="G34" i="10"/>
  <c r="H34" i="10"/>
  <c r="I34" i="10"/>
  <c r="G35" i="10"/>
  <c r="H35" i="10"/>
  <c r="I35" i="10"/>
  <c r="G36" i="10"/>
  <c r="H36" i="10"/>
  <c r="I36" i="10"/>
  <c r="G37" i="10"/>
  <c r="H37" i="10"/>
  <c r="I37" i="10"/>
  <c r="G38" i="10"/>
  <c r="H38" i="10"/>
  <c r="I38" i="10"/>
  <c r="G39" i="10"/>
  <c r="H39" i="10"/>
  <c r="I39" i="10"/>
  <c r="G40" i="10"/>
  <c r="H40" i="10"/>
  <c r="I40" i="10"/>
  <c r="G41" i="10"/>
  <c r="H41" i="10"/>
  <c r="I41" i="10"/>
  <c r="G42" i="10"/>
  <c r="H42" i="10"/>
  <c r="I42" i="10"/>
  <c r="G43" i="10"/>
  <c r="H43" i="10"/>
  <c r="I43" i="10"/>
  <c r="G44" i="10"/>
  <c r="H44" i="10"/>
  <c r="I44" i="10"/>
  <c r="G45" i="10"/>
  <c r="H45" i="10"/>
  <c r="I45" i="10"/>
  <c r="G46" i="10"/>
  <c r="H46" i="10"/>
  <c r="I46" i="10"/>
  <c r="G47" i="10"/>
  <c r="H47" i="10"/>
  <c r="I47" i="10"/>
  <c r="G48" i="10"/>
  <c r="H48" i="10"/>
  <c r="I48" i="10"/>
  <c r="G49" i="10"/>
  <c r="H49" i="10"/>
  <c r="I49" i="10"/>
  <c r="G50" i="10"/>
  <c r="H50" i="10"/>
  <c r="I50" i="10"/>
  <c r="G51" i="10"/>
  <c r="H51" i="10"/>
  <c r="I51" i="10"/>
  <c r="G52" i="10"/>
  <c r="H52" i="10"/>
  <c r="I52" i="10"/>
  <c r="G53" i="10"/>
  <c r="H53" i="10"/>
  <c r="I53" i="10"/>
  <c r="G54" i="10"/>
  <c r="H54" i="10"/>
  <c r="I54" i="10"/>
  <c r="G55" i="10"/>
  <c r="H55" i="10"/>
  <c r="I55" i="10"/>
  <c r="G56" i="10"/>
  <c r="H56" i="10"/>
  <c r="I56" i="10"/>
  <c r="G57" i="10"/>
  <c r="H57" i="10"/>
  <c r="I57" i="10"/>
  <c r="G58" i="10"/>
  <c r="H58" i="10"/>
  <c r="I58" i="10"/>
  <c r="G59" i="10"/>
  <c r="H59" i="10"/>
  <c r="I59" i="10"/>
  <c r="G60" i="10"/>
  <c r="H60" i="10"/>
  <c r="I60" i="10"/>
  <c r="G61" i="10"/>
  <c r="H61" i="10"/>
  <c r="I61" i="10"/>
  <c r="G62" i="10"/>
  <c r="H62" i="10"/>
  <c r="I62" i="10"/>
  <c r="G63" i="10"/>
  <c r="H63" i="10"/>
  <c r="I63" i="10"/>
  <c r="G64" i="10"/>
  <c r="H64" i="10"/>
  <c r="I64" i="10"/>
  <c r="G65" i="10"/>
  <c r="H65" i="10"/>
  <c r="I65" i="10"/>
  <c r="G66" i="10"/>
  <c r="H66" i="10"/>
  <c r="I66" i="10"/>
  <c r="G67" i="10"/>
  <c r="H67" i="10"/>
  <c r="I67" i="10"/>
  <c r="G68" i="10"/>
  <c r="H68" i="10"/>
  <c r="I68" i="10"/>
  <c r="G69" i="10"/>
  <c r="H69" i="10"/>
  <c r="I69" i="10"/>
  <c r="G70" i="10"/>
  <c r="H70" i="10"/>
  <c r="I70" i="10"/>
  <c r="G71" i="10"/>
  <c r="H71" i="10"/>
  <c r="I71" i="10"/>
  <c r="G72" i="10"/>
  <c r="H72" i="10"/>
  <c r="I72" i="10"/>
  <c r="G73" i="10"/>
  <c r="H73" i="10"/>
  <c r="I73" i="10"/>
  <c r="G74" i="10"/>
  <c r="H74" i="10"/>
  <c r="I74" i="10"/>
  <c r="G75" i="10"/>
  <c r="H75" i="10"/>
  <c r="I75" i="10"/>
  <c r="G76" i="10"/>
  <c r="H76" i="10"/>
  <c r="I76" i="10"/>
  <c r="G77" i="10"/>
  <c r="H77" i="10"/>
  <c r="I77" i="10"/>
  <c r="G78" i="10"/>
  <c r="H78" i="10"/>
  <c r="I78" i="10"/>
  <c r="G79" i="10"/>
  <c r="H79" i="10"/>
  <c r="I79" i="10"/>
  <c r="G80" i="10"/>
  <c r="H80" i="10"/>
  <c r="I80" i="10"/>
  <c r="G81" i="10"/>
  <c r="H81" i="10"/>
  <c r="I81" i="10"/>
  <c r="G82" i="10"/>
  <c r="H82" i="10"/>
  <c r="I82" i="10"/>
  <c r="G83" i="10"/>
  <c r="H83" i="10"/>
  <c r="I83" i="10"/>
  <c r="G84" i="10"/>
  <c r="H84" i="10"/>
  <c r="I84" i="10"/>
  <c r="G85" i="10"/>
  <c r="H85" i="10"/>
  <c r="I85" i="10"/>
  <c r="G86" i="10"/>
  <c r="H86" i="10"/>
  <c r="I86" i="10"/>
  <c r="G87" i="10"/>
  <c r="H87" i="10"/>
  <c r="I87" i="10"/>
  <c r="G88" i="10"/>
  <c r="H88" i="10"/>
  <c r="I88" i="10"/>
  <c r="G89" i="10"/>
  <c r="H89" i="10"/>
  <c r="I89" i="10"/>
  <c r="G90" i="10"/>
  <c r="H90" i="10"/>
  <c r="I90" i="10"/>
  <c r="H33" i="10"/>
  <c r="I33" i="10"/>
  <c r="G33" i="10"/>
  <c r="I4" i="8"/>
  <c r="J4" i="8"/>
  <c r="K4" i="8"/>
  <c r="L4" i="8"/>
  <c r="I5" i="8"/>
  <c r="J5" i="8"/>
  <c r="K5" i="8"/>
  <c r="L5" i="8"/>
  <c r="I6" i="8"/>
  <c r="J6" i="8"/>
  <c r="K6" i="8"/>
  <c r="L6" i="8"/>
  <c r="I7" i="8"/>
  <c r="J7" i="8"/>
  <c r="K7" i="8"/>
  <c r="L7" i="8"/>
  <c r="I8" i="8"/>
  <c r="J8" i="8"/>
  <c r="K8" i="8"/>
  <c r="L8" i="8"/>
  <c r="I9" i="8"/>
  <c r="J9" i="8"/>
  <c r="K9" i="8"/>
  <c r="L9" i="8"/>
  <c r="H6" i="8"/>
  <c r="H7" i="8"/>
  <c r="H8" i="8"/>
  <c r="H9" i="8"/>
  <c r="H5" i="8"/>
  <c r="K3" i="5"/>
  <c r="I3" i="5"/>
  <c r="J3" i="5"/>
  <c r="H3" i="5"/>
  <c r="G3"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<sst xmlns="http://schemas.openxmlformats.org/spreadsheetml/2006/main" count="14640" uniqueCount="2548">
  <si>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</si>
  <si>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</si>
  <si>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</si>
  <si>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</si>
  <si>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</si>
  <si>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</si>
  <si>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</si>
  <si>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</si>
  <si>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</si>
  <si>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</si>
  <si>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</si>
  <si>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</si>
  <si>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</si>
  <si>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</si>
  <si>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</si>
  <si>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</si>
  <si>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</si>
  <si>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</si>
  <si>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</si>
  <si>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</si>
  <si>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</si>
  <si>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</si>
  <si>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</si>
  <si>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</si>
  <si>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</si>
  <si>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</si>
  <si>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</si>
  <si>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</si>
  <si>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</si>
  <si>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</si>
  <si>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</si>
  <si>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</si>
  <si>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</si>
  <si>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</si>
  <si>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</si>
  <si>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</si>
  <si>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</si>
  <si>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</si>
  <si>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</si>
  <si>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</si>
  <si>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</si>
  <si>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</si>
  <si>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</si>
  <si>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</si>
  <si>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</si>
  <si>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</si>
  <si>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</si>
  <si>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</si>
  <si>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</si>
  <si>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</si>
  <si>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</si>
  <si>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</si>
  <si>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</si>
  <si>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</si>
  <si>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</si>
  <si>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</si>
  <si>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</si>
  <si>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</si>
  <si>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</si>
  <si>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</si>
  <si>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</si>
  <si>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</si>
  <si>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</si>
  <si>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</si>
  <si>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</si>
  <si>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</si>
  <si>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</si>
  <si>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</si>
  <si>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</si>
  <si>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</si>
  <si>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</si>
  <si>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</si>
  <si>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</si>
  <si>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</si>
  <si>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</si>
  <si>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</si>
  <si>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</si>
  <si>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</si>
  <si>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</si>
  <si>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</si>
  <si>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</si>
  <si>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</si>
  <si>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</si>
  <si>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</si>
  <si>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</si>
  <si>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</si>
  <si>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</si>
  <si>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</si>
  <si>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</si>
  <si>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</si>
  <si>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</si>
  <si>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</si>
  <si>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</si>
  <si>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</si>
  <si>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</si>
  <si>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</si>
  <si>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</si>
  <si>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</si>
  <si>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</si>
  <si>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</si>
  <si>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</si>
  <si>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</si>
  <si>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</si>
  <si>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</si>
  <si>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</si>
  <si>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</si>
  <si>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</si>
  <si>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</si>
  <si>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</si>
  <si>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</si>
  <si>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</si>
  <si>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</si>
  <si>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</si>
  <si>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</si>
  <si>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</si>
  <si>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</si>
  <si>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</si>
  <si>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</si>
  <si>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</si>
  <si>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</si>
  <si>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</si>
  <si>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</si>
  <si>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</si>
  <si>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</si>
  <si>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</si>
  <si>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</si>
  <si>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</si>
  <si>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</si>
  <si>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</si>
  <si>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</si>
  <si>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</si>
  <si>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</si>
  <si>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</si>
  <si>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</si>
  <si>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</si>
  <si>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</si>
  <si>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</si>
  <si>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</si>
  <si>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</si>
  <si>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</si>
  <si>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</si>
  <si>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</si>
  <si>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</si>
  <si>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</si>
  <si>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</si>
  <si>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</si>
  <si>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</si>
  <si>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</si>
  <si>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</si>
  <si>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</si>
  <si>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</si>
  <si>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</si>
  <si>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</si>
  <si>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</si>
  <si>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</si>
  <si>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</si>
  <si>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</si>
  <si>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</si>
  <si>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</si>
  <si>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</si>
  <si>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</si>
  <si>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</si>
  <si>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</si>
  <si>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</si>
  <si>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</si>
  <si>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</si>
  <si>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</si>
  <si>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</si>
  <si>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</si>
  <si>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</si>
  <si>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</si>
  <si>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</si>
  <si>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</si>
  <si>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</si>
  <si>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</si>
  <si>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</si>
  <si>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</si>
  <si>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</si>
  <si>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</si>
  <si>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</si>
  <si>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</si>
  <si>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</si>
  <si>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</si>
  <si>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</si>
  <si>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</si>
  <si>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</si>
  <si>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</si>
  <si>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</si>
  <si>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</si>
  <si>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</si>
  <si>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</si>
  <si>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</si>
  <si>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</si>
  <si>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</si>
  <si>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</si>
  <si>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</si>
  <si>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</si>
  <si>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</si>
  <si>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</si>
  <si>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</si>
  <si>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</si>
  <si>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</si>
  <si>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</si>
  <si>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</si>
  <si>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</si>
  <si>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</si>
  <si>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</si>
  <si>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</si>
  <si>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</si>
  <si>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</si>
  <si>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</si>
  <si>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</si>
  <si>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</si>
  <si>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</si>
  <si>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</si>
  <si>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</si>
  <si>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</si>
  <si>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</si>
  <si>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</si>
  <si>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</si>
  <si>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</si>
  <si>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</si>
  <si>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</si>
  <si>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</si>
  <si>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</si>
  <si>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</si>
  <si>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</si>
  <si>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</si>
  <si>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</si>
  <si>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</si>
  <si>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</si>
  <si>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</si>
  <si>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</si>
  <si>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</si>
  <si>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</si>
  <si>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</si>
  <si>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</si>
  <si>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</si>
  <si>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</si>
  <si>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</si>
  <si>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</si>
  <si>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</si>
  <si>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</si>
  <si>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</si>
  <si>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</si>
  <si>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</si>
  <si>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</si>
  <si>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</si>
  <si>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</si>
  <si>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</si>
  <si>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</si>
  <si>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</si>
  <si>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</si>
  <si>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</si>
  <si>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</si>
  <si>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</si>
  <si>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</si>
  <si>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</si>
  <si>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</si>
  <si>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</si>
  <si>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</si>
  <si>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</si>
  <si>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</si>
  <si>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</si>
  <si>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</si>
  <si>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</si>
  <si>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</si>
  <si>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</si>
  <si>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</si>
  <si>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</si>
  <si>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</si>
  <si>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</si>
  <si>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</si>
  <si>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</si>
  <si>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</si>
  <si>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</si>
  <si>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</si>
  <si>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</si>
  <si>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</si>
  <si>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</si>
  <si>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</si>
  <si>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</si>
  <si>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</si>
  <si>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</si>
  <si>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</si>
  <si>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</si>
  <si>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</si>
  <si>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</si>
  <si>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</si>
  <si>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</si>
  <si>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</si>
  <si>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</si>
  <si>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</si>
  <si>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</si>
  <si>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</si>
  <si>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</si>
  <si>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</si>
  <si>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</si>
  <si>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</si>
  <si>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</si>
  <si>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</si>
  <si>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</si>
  <si>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</si>
  <si>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</si>
  <si>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</si>
  <si>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</si>
  <si>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</si>
  <si>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</si>
  <si>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</si>
  <si>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</si>
  <si>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</si>
  <si>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</si>
  <si>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</si>
  <si>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</si>
  <si>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</si>
  <si>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</si>
  <si>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</si>
  <si>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</si>
  <si>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</si>
  <si>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</si>
  <si>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</si>
  <si>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</si>
  <si>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</si>
  <si>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</si>
  <si>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</si>
  <si>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</si>
  <si>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</si>
  <si>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</si>
  <si>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</si>
  <si>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</si>
  <si>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</si>
  <si>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</si>
  <si>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</si>
  <si>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</si>
  <si>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</si>
  <si>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</si>
  <si>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</si>
  <si>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</si>
  <si>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</si>
  <si>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</si>
  <si>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</si>
  <si>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</si>
  <si>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</si>
  <si>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</si>
  <si>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</si>
  <si>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</si>
  <si>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</si>
  <si>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</si>
  <si>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</si>
  <si>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</si>
  <si>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</si>
  <si>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</si>
  <si>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</si>
  <si>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</si>
  <si>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</si>
  <si>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</si>
  <si>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</si>
  <si>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</si>
  <si>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</si>
  <si>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</si>
  <si>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</si>
  <si>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</si>
  <si>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</si>
  <si>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</si>
  <si>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</si>
  <si>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</si>
  <si>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</si>
  <si>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</si>
  <si>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</si>
  <si>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</si>
  <si>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</si>
  <si>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</si>
  <si>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</si>
  <si>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</si>
  <si>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</si>
  <si>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</si>
  <si>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</si>
  <si>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</si>
  <si>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</si>
  <si>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</si>
  <si>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</si>
  <si>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</si>
  <si>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</si>
  <si>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</si>
  <si>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</si>
  <si>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</si>
  <si>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</si>
  <si>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</si>
  <si>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</si>
  <si>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</si>
  <si>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</si>
  <si>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</si>
  <si>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</si>
  <si>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</si>
  <si>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</si>
  <si>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</si>
  <si>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</si>
  <si>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</si>
  <si>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</si>
  <si>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</si>
  <si>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</si>
  <si>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</si>
  <si>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</si>
  <si>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</si>
  <si>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</si>
  <si>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</si>
  <si>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</si>
  <si>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</si>
  <si>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</si>
  <si>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</si>
  <si>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</si>
  <si>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</si>
  <si>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</si>
  <si>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</si>
  <si>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</si>
  <si>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</si>
  <si>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</si>
  <si>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</si>
  <si>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</si>
  <si>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</si>
  <si>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</si>
  <si>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</si>
  <si>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</si>
  <si>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</si>
  <si>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</si>
  <si>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</si>
  <si>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</si>
  <si>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</si>
  <si>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</si>
  <si>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</si>
  <si>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</si>
  <si>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</si>
  <si>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</si>
  <si>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</si>
  <si>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</si>
  <si>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</si>
  <si>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</si>
  <si>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</si>
  <si>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</si>
  <si>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</si>
  <si>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</si>
  <si>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</si>
  <si>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</si>
  <si>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</si>
  <si>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</si>
  <si>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</si>
  <si>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</si>
  <si>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</si>
  <si>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</si>
  <si>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</si>
  <si>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</si>
  <si>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</si>
  <si>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</si>
  <si>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</si>
  <si>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</si>
  <si>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</si>
  <si>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</si>
  <si>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</si>
  <si>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</si>
  <si>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</si>
  <si>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</si>
  <si>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</si>
  <si>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</si>
  <si>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</si>
  <si>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</si>
  <si>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</si>
  <si>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</si>
  <si>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</si>
  <si>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</si>
  <si>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</si>
  <si>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</si>
  <si>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</si>
  <si>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</si>
  <si>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</si>
  <si>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</si>
  <si>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</si>
  <si>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</si>
  <si>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</si>
  <si>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</si>
  <si>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</si>
  <si>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</si>
  <si>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</si>
  <si>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</si>
  <si>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</si>
  <si>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</si>
  <si>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</si>
  <si>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</si>
  <si>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</si>
  <si>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</si>
  <si>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</si>
  <si>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</si>
  <si>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</si>
  <si>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</si>
  <si>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</si>
  <si>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</si>
  <si>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</si>
  <si>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</si>
  <si>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</si>
  <si>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</si>
  <si>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</si>
  <si>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</si>
  <si>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</si>
  <si>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</si>
  <si>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</si>
  <si>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</si>
  <si>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</si>
  <si>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</si>
  <si>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</si>
  <si>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</si>
  <si>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</si>
  <si>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</si>
  <si>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</si>
  <si>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</si>
  <si>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</si>
  <si>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</si>
  <si>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</si>
  <si>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</si>
  <si>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</si>
  <si>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</si>
  <si>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</si>
  <si>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</si>
  <si>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</si>
  <si>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</si>
  <si>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</si>
  <si>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</si>
  <si>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</si>
  <si>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</si>
  <si>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</si>
  <si>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</si>
  <si>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</si>
  <si>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</si>
  <si>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</si>
  <si>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</si>
  <si>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</si>
  <si>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</si>
  <si>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</si>
  <si>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</si>
  <si>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</si>
  <si>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</si>
  <si>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</si>
  <si>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</si>
  <si>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</si>
  <si>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</si>
  <si>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</si>
  <si>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</si>
  <si>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</si>
  <si>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</si>
  <si>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</si>
  <si>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</si>
  <si>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</si>
  <si>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</si>
  <si>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</si>
  <si>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</si>
  <si>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</si>
  <si>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</si>
  <si>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</si>
  <si>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</si>
  <si>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</si>
  <si>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</si>
  <si>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</si>
  <si>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</si>
  <si>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</si>
  <si>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</si>
  <si>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</si>
  <si>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</si>
  <si>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</si>
  <si>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</si>
  <si>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</si>
  <si>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</si>
  <si>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</si>
  <si>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</si>
  <si>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</si>
  <si>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</si>
  <si>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</si>
  <si>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</si>
  <si>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</si>
  <si>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</si>
  <si>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</si>
  <si>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</si>
  <si>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</si>
  <si>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</si>
  <si>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</si>
  <si>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</si>
  <si>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</si>
  <si>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</si>
  <si>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</si>
  <si>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</si>
  <si>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</si>
  <si>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</si>
  <si>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</si>
  <si>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</si>
  <si>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</si>
  <si>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</si>
  <si>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</si>
  <si>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</si>
  <si>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</si>
  <si>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</si>
  <si>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</si>
  <si>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</si>
  <si>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</si>
  <si>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</si>
  <si>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</si>
  <si>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</si>
  <si>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</si>
  <si>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</si>
  <si>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</si>
  <si>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</si>
  <si>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</si>
  <si>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</si>
  <si>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</si>
  <si>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</si>
  <si>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</si>
  <si>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</si>
  <si>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</si>
  <si>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</si>
  <si>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</si>
  <si>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</si>
  <si>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</si>
  <si>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</si>
  <si>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</si>
  <si>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</si>
  <si>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</si>
  <si>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</si>
  <si>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</si>
  <si>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</si>
  <si>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</si>
  <si>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</si>
  <si>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</si>
  <si>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</si>
  <si>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</si>
  <si>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</si>
  <si>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</si>
  <si>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</si>
  <si>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</si>
  <si>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</si>
  <si>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</si>
  <si>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</si>
  <si>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</si>
  <si>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</si>
  <si>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</si>
  <si>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</si>
  <si>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</si>
  <si>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</si>
  <si>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</si>
  <si>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</si>
  <si>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</si>
  <si>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</si>
  <si>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</si>
  <si>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</si>
  <si>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</si>
  <si>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</si>
  <si>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</si>
  <si>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</si>
  <si>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</si>
  <si>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</si>
  <si>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</si>
  <si>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</si>
  <si>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</si>
  <si>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</si>
  <si>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</si>
  <si>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</si>
  <si>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</si>
  <si>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</si>
  <si>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</si>
  <si>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</si>
  <si>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</si>
  <si>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</si>
  <si>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</si>
  <si>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</si>
  <si>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</si>
  <si>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</si>
  <si>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</si>
  <si>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</si>
  <si>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</si>
  <si>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</si>
  <si>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</si>
  <si>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</si>
  <si>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</si>
  <si>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</si>
  <si>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</si>
  <si>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</si>
  <si>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</si>
  <si>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</si>
  <si>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</si>
  <si>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</si>
  <si>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</si>
  <si>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</si>
  <si>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</si>
  <si>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</si>
  <si>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</si>
  <si>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</si>
  <si>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</si>
  <si>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</si>
  <si>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</si>
  <si>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</si>
  <si>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</si>
  <si>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</si>
  <si>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</si>
  <si>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</si>
  <si>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</si>
  <si>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</si>
  <si>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</si>
  <si>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</si>
  <si>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</si>
  <si>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</si>
  <si>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</si>
  <si>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</si>
  <si>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</si>
  <si>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</si>
  <si>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</si>
  <si>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</si>
  <si>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</si>
  <si>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</si>
  <si>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</si>
  <si>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</si>
  <si>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</si>
  <si>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</si>
  <si>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</si>
  <si>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</si>
  <si>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</si>
  <si>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</si>
  <si>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</si>
  <si>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</si>
  <si>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</si>
  <si>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</si>
  <si>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</si>
  <si>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</si>
  <si>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</si>
  <si>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</si>
  <si>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</si>
  <si>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</si>
  <si>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</si>
  <si>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</si>
  <si>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</si>
  <si>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</si>
  <si>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</si>
  <si>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</si>
  <si>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</si>
  <si>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</si>
  <si>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</si>
  <si>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</si>
  <si>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</si>
  <si>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</si>
  <si>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</si>
  <si>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</si>
  <si>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</si>
  <si>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</si>
  <si>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</si>
  <si>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</si>
  <si>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</si>
  <si>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</si>
  <si>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</si>
  <si>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</si>
  <si>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</si>
  <si>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</si>
  <si>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</si>
  <si>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</si>
  <si>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</si>
  <si>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</si>
  <si>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</si>
  <si>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</si>
  <si>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</si>
  <si>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</si>
  <si>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</si>
  <si>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</si>
  <si>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</si>
  <si>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</si>
  <si>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</si>
  <si>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</si>
  <si>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</si>
  <si>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</si>
  <si>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</si>
  <si>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</si>
  <si>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</si>
  <si>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</si>
  <si>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</si>
  <si>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</si>
  <si>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</si>
  <si>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</si>
  <si>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</si>
  <si>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</si>
  <si>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</si>
  <si>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</si>
  <si>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</si>
  <si>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</si>
  <si>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</si>
  <si>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</si>
  <si>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</si>
  <si>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</si>
  <si>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</si>
  <si>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</si>
  <si>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</si>
  <si>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</si>
  <si>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</si>
  <si>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</si>
  <si>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</si>
  <si>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</si>
  <si>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</si>
  <si>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</si>
  <si>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</si>
  <si>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</si>
  <si>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</si>
  <si>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</si>
  <si>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</si>
  <si>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</si>
  <si>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</si>
  <si>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</si>
  <si>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</si>
  <si>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</si>
  <si>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</si>
  <si>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</si>
  <si>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</si>
  <si>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</si>
  <si>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</si>
  <si>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</si>
  <si>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</si>
  <si>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</si>
  <si>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</si>
  <si>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</si>
  <si>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</si>
  <si>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</si>
  <si>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</si>
  <si>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</si>
  <si>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</si>
  <si>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</si>
  <si>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</si>
  <si>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</si>
  <si>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</si>
  <si>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</si>
  <si>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</si>
  <si>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</si>
  <si>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</si>
  <si>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</si>
  <si>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</si>
  <si>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</si>
  <si>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</si>
  <si>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</si>
  <si>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</si>
  <si>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</si>
  <si>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</si>
  <si>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</si>
  <si>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</si>
  <si>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</si>
  <si>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</si>
  <si>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</si>
  <si>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</si>
  <si>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</si>
  <si>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</si>
  <si>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</si>
  <si>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</si>
  <si>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</si>
  <si>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</si>
  <si>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</si>
  <si>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</si>
  <si>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</si>
  <si>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</si>
  <si>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</si>
  <si>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</si>
  <si>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</si>
  <si>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</si>
  <si>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</si>
  <si>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</si>
  <si>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</si>
  <si>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</si>
  <si>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</si>
  <si>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</si>
  <si>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</si>
  <si>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</si>
  <si>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</si>
  <si>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</si>
  <si>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</si>
  <si>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</si>
  <si>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</si>
  <si>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</si>
  <si>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</si>
  <si>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</si>
  <si>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</si>
  <si>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</si>
  <si>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</si>
  <si>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</si>
  <si>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</si>
  <si>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</si>
  <si>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</si>
  <si>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</si>
  <si>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</si>
  <si>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</si>
  <si>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</si>
  <si>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</si>
  <si>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</si>
  <si>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</si>
  <si>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</si>
  <si>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</si>
  <si>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</si>
  <si>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</si>
  <si>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</si>
  <si>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</si>
  <si>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</si>
  <si>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</si>
  <si>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</si>
  <si>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</si>
  <si>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</si>
  <si>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</si>
  <si>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</si>
  <si>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</si>
  <si>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</si>
  <si>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</si>
  <si>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</si>
  <si>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</si>
  <si>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</si>
  <si>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</si>
  <si>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</si>
  <si>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</si>
  <si>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</si>
  <si>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</si>
  <si>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</si>
  <si>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</si>
  <si>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</si>
  <si>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</si>
  <si>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</si>
  <si>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</si>
  <si>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</si>
  <si>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</si>
  <si>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</si>
  <si>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</si>
  <si>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</si>
  <si>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</si>
  <si>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</si>
  <si>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</si>
  <si>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</si>
  <si>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</si>
  <si>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</si>
  <si>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</si>
  <si>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</si>
  <si>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</si>
  <si>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</si>
  <si>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</si>
  <si>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</si>
  <si>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</si>
  <si>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</si>
  <si>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</si>
  <si>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</si>
  <si>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</si>
  <si>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</si>
  <si>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</si>
  <si>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</si>
  <si>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</si>
  <si>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</si>
  <si>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</si>
  <si>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</si>
  <si>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</si>
  <si>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</si>
  <si>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</si>
  <si>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</si>
  <si>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</si>
  <si>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</si>
  <si>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</si>
  <si>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</si>
  <si>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</si>
  <si>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</si>
  <si>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</si>
  <si>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</si>
  <si>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</si>
  <si>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</si>
  <si>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</si>
  <si>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</si>
  <si>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</si>
  <si>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</si>
  <si>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</si>
  <si>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</si>
  <si>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</si>
  <si>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</si>
  <si>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</si>
  <si>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</si>
  <si>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</si>
  <si>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</si>
  <si>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</si>
  <si>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</si>
  <si>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</si>
  <si>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</si>
  <si>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</si>
  <si>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</si>
  <si>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</si>
  <si>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</si>
  <si>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</si>
  <si>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</si>
  <si>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</si>
  <si>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</si>
  <si>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</si>
  <si>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</si>
  <si>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</si>
  <si>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</si>
  <si>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</si>
  <si>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</si>
  <si>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</si>
  <si>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</si>
  <si>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</si>
  <si>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</si>
  <si>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</si>
  <si>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</si>
  <si>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</si>
  <si>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</si>
  <si>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</si>
  <si>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</si>
  <si>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</si>
  <si>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</si>
  <si>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</si>
  <si>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</si>
  <si>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</si>
  <si>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</si>
  <si>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</si>
  <si>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</si>
  <si>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</si>
  <si>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</si>
  <si>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</si>
  <si>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</si>
  <si>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</si>
  <si>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</si>
  <si>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</si>
  <si>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</si>
  <si>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</si>
  <si>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</si>
  <si>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</si>
  <si>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</si>
  <si>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</si>
  <si>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</si>
  <si>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</si>
  <si>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</si>
  <si>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</si>
  <si>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</si>
  <si>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</si>
  <si>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</si>
  <si>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</si>
  <si>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</si>
  <si>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</si>
  <si>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</si>
  <si>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</si>
  <si>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</si>
  <si>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</si>
  <si>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</si>
  <si>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</si>
  <si>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</si>
  <si>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</si>
  <si>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</si>
  <si>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</si>
  <si>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</si>
  <si>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</si>
  <si>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</si>
  <si>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</si>
  <si>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</si>
  <si>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</si>
  <si>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</si>
  <si>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</si>
  <si>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</si>
  <si>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</si>
  <si>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</si>
  <si>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</si>
  <si>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</si>
  <si>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</si>
  <si>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</si>
  <si>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</si>
  <si>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</si>
  <si>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</si>
  <si>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</si>
  <si>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</si>
  <si>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</si>
  <si>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</si>
  <si>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</si>
  <si>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</si>
  <si>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</si>
  <si>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</si>
  <si>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</si>
  <si>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</si>
  <si>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</si>
  <si>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</si>
  <si>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</si>
  <si>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</si>
  <si>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</si>
  <si>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</si>
  <si>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</si>
  <si>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</si>
  <si>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</si>
  <si>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</si>
  <si>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</si>
  <si>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</si>
  <si>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</si>
  <si>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</si>
  <si>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</si>
  <si>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</si>
  <si>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</si>
  <si>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</si>
  <si>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</si>
  <si>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</si>
  <si>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</si>
  <si>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</si>
  <si>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</si>
  <si>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</si>
  <si>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</si>
  <si>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</si>
  <si>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</si>
  <si>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</si>
  <si>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</si>
  <si>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</si>
  <si>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</si>
  <si>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</si>
  <si>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</si>
  <si>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</si>
  <si>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</si>
  <si>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</si>
  <si>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</si>
  <si>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</si>
  <si>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</si>
  <si>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</si>
  <si>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</si>
  <si>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</si>
  <si>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</si>
  <si>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</si>
  <si>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</si>
  <si>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</si>
  <si>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</si>
  <si>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</si>
  <si>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</si>
  <si>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</si>
  <si>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</si>
  <si>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</si>
  <si>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</si>
  <si>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</si>
  <si>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</si>
  <si>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</si>
  <si>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</si>
  <si>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</si>
  <si>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</si>
  <si>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</si>
  <si>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</si>
  <si>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</si>
  <si>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</si>
  <si>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</si>
  <si>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</si>
  <si>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</si>
  <si>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</si>
  <si>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</si>
  <si>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</si>
  <si>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</si>
  <si>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</si>
  <si>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</si>
  <si>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</si>
  <si>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</si>
  <si>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</si>
  <si>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</si>
  <si>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</si>
  <si>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</si>
  <si>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</si>
  <si>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</si>
  <si>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</si>
  <si>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</si>
  <si>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</si>
  <si>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</si>
  <si>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</si>
  <si>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</si>
  <si>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</si>
  <si>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</si>
  <si>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</si>
  <si>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</si>
  <si>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</si>
  <si>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</si>
  <si>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</si>
  <si>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</si>
  <si>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</si>
  <si>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</si>
  <si>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</si>
  <si>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</si>
  <si>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</si>
  <si>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</si>
  <si>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</si>
  <si>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</si>
  <si>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</si>
  <si>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</si>
  <si>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</si>
  <si>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</si>
  <si>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</si>
  <si>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</si>
  <si>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</si>
  <si>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</si>
  <si>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</si>
  <si>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</si>
  <si>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</si>
  <si>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</si>
  <si>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</si>
  <si>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</si>
  <si>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</si>
  <si>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</si>
  <si>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</si>
  <si>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</si>
  <si>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</si>
  <si>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</si>
  <si>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</si>
  <si>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</si>
  <si>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</si>
  <si>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</si>
  <si>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</si>
  <si>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</si>
  <si>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</si>
  <si>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</si>
  <si>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</si>
  <si>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</si>
  <si>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</si>
  <si>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</si>
  <si>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</si>
  <si>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</si>
  <si>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</si>
  <si>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</si>
  <si>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</si>
  <si>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</si>
  <si>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</si>
  <si>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</si>
  <si>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</si>
  <si>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</si>
  <si>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</si>
  <si>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</si>
  <si>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</si>
  <si>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</si>
  <si>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</si>
  <si>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</si>
  <si>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</si>
  <si>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</si>
  <si>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</si>
  <si>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</si>
  <si>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</si>
  <si>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</si>
  <si>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</si>
  <si>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</si>
  <si>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</si>
  <si>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</si>
  <si>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</si>
  <si>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</si>
  <si>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</si>
  <si>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</si>
  <si>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</si>
  <si>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</si>
  <si>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</si>
  <si>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</si>
  <si>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</si>
  <si>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</si>
  <si>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</si>
  <si>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</si>
  <si>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</si>
  <si>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</si>
  <si>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</si>
  <si>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</si>
  <si>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</si>
  <si>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</si>
  <si>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</si>
  <si>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</si>
  <si>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</si>
  <si>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</si>
  <si>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</si>
  <si>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</si>
  <si>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</si>
  <si>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</si>
  <si>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</si>
  <si>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</si>
  <si>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</si>
  <si>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</si>
  <si>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</si>
  <si>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</si>
  <si>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</si>
  <si>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</si>
  <si>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</si>
  <si>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</si>
  <si>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</si>
  <si>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</si>
  <si>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</si>
  <si>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</si>
  <si>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</si>
  <si>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</si>
  <si>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</si>
  <si>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</si>
  <si>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</si>
  <si>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</si>
  <si>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</si>
  <si>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</si>
  <si>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</si>
  <si>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</si>
  <si>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</si>
  <si>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</si>
  <si>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</si>
  <si>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</si>
  <si>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</si>
  <si>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</si>
  <si>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</si>
  <si>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</si>
  <si>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</si>
  <si>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</si>
  <si>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</si>
  <si>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</si>
  <si>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</si>
  <si>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</si>
  <si>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</si>
  <si>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</si>
  <si>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</si>
  <si>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</si>
  <si>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</si>
  <si>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</si>
  <si>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</si>
  <si>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</si>
  <si>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</si>
  <si>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</si>
  <si>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</si>
  <si>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</si>
  <si>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</si>
  <si>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</si>
  <si>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</si>
  <si>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</si>
  <si>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</si>
  <si>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</si>
  <si>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</si>
  <si>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</si>
  <si>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</si>
  <si>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</si>
  <si>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</si>
  <si>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</si>
  <si>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</si>
  <si>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</si>
  <si>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</si>
  <si>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</si>
  <si>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</si>
  <si>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</si>
  <si>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</si>
  <si>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</si>
  <si>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</si>
  <si>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</si>
  <si>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</si>
  <si>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</si>
  <si>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</si>
  <si>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</si>
  <si>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</si>
  <si>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</si>
  <si>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</si>
  <si>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</si>
  <si>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</si>
  <si>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</si>
  <si>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</si>
  <si>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</si>
  <si>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</si>
  <si>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</si>
  <si>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</si>
  <si>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</si>
  <si>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</si>
  <si>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</si>
  <si>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</si>
  <si>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</si>
  <si>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</si>
  <si>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</si>
  <si>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</si>
  <si>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</si>
  <si>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</si>
  <si>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</si>
  <si>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</si>
  <si>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</si>
  <si>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</si>
  <si>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</si>
  <si>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</si>
  <si>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</si>
  <si>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</si>
  <si>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</si>
  <si>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</si>
  <si>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</si>
  <si>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</si>
  <si>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</si>
  <si>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</si>
  <si>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</si>
  <si>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</si>
  <si>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</si>
  <si>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</si>
  <si>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</si>
  <si>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</si>
  <si>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</si>
  <si>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</si>
  <si>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</si>
  <si>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</si>
  <si>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</si>
  <si>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</si>
  <si>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</si>
  <si>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</si>
  <si>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</si>
  <si>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</si>
  <si>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</si>
  <si>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</si>
  <si>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</si>
  <si>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</si>
  <si>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</si>
  <si>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</si>
  <si>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</si>
  <si>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</si>
  <si>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</si>
  <si>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</si>
  <si>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</si>
  <si>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</si>
  <si>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</si>
  <si>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</si>
  <si>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</si>
  <si>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</si>
  <si>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</si>
  <si>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</si>
  <si>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</si>
  <si>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</si>
  <si>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</si>
  <si>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</si>
  <si>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</si>
  <si>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</si>
  <si>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</si>
  <si>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</si>
  <si>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</si>
  <si>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</si>
  <si>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</si>
  <si>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</si>
  <si>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</si>
  <si>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</si>
  <si>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</si>
  <si>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</si>
  <si>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</si>
  <si>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</si>
  <si>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</si>
  <si>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</si>
  <si>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</si>
  <si>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</si>
  <si>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</si>
  <si>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</si>
  <si>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</si>
  <si>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</si>
  <si>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</si>
  <si>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</si>
  <si>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</si>
  <si>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</si>
  <si>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</si>
  <si>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</si>
  <si>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</si>
  <si>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</si>
  <si>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</si>
  <si>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</si>
  <si>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</si>
  <si>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</si>
  <si>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</si>
  <si>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</si>
  <si>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</si>
  <si>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</si>
  <si>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</si>
  <si>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</si>
  <si>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</si>
  <si>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</si>
  <si>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</si>
  <si>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</si>
  <si>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</si>
  <si>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</si>
  <si>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</si>
  <si>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</si>
  <si>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</si>
  <si>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</si>
  <si>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</si>
  <si>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</si>
  <si>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</si>
  <si>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</si>
  <si>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</si>
  <si>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</si>
  <si>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</si>
  <si>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</si>
  <si>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</si>
  <si>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</si>
  <si>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</si>
  <si>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</si>
  <si>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</si>
  <si>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</si>
  <si>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</si>
  <si>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</si>
  <si>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</si>
  <si>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</si>
  <si>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</si>
  <si>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</si>
  <si>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</si>
  <si>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</si>
  <si>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</si>
  <si>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</si>
  <si>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</si>
  <si>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</si>
  <si>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</si>
  <si>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</si>
  <si>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</si>
  <si>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</si>
  <si>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</si>
  <si>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</si>
  <si>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</si>
  <si>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</si>
  <si>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</si>
  <si>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</si>
  <si>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</si>
  <si>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</si>
  <si>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</si>
  <si>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</si>
  <si>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</si>
  <si>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</si>
  <si>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</si>
  <si>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</si>
  <si>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</si>
  <si>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</si>
  <si>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</si>
  <si>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</si>
  <si>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</si>
  <si>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</si>
  <si>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</si>
  <si>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</si>
  <si>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</si>
  <si>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</si>
  <si>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</si>
  <si>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</si>
  <si>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</si>
  <si>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</si>
  <si>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</si>
  <si>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</si>
  <si>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</si>
  <si>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</si>
  <si>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</si>
  <si>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</si>
  <si>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</si>
  <si>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</si>
  <si>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</si>
  <si>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</si>
  <si>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</si>
  <si>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</si>
  <si>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</si>
  <si>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</si>
  <si>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</si>
  <si>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</si>
  <si>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</si>
  <si>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</si>
  <si>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</si>
  <si>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</si>
  <si>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</si>
  <si>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</si>
  <si>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</si>
  <si>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</si>
  <si>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</si>
  <si>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</si>
  <si>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</si>
  <si>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</si>
  <si>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</si>
  <si>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</si>
  <si>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</si>
  <si>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</si>
  <si>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</si>
  <si>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</si>
  <si>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</si>
  <si>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</si>
  <si>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</si>
  <si>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</si>
  <si>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</si>
  <si>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</si>
  <si>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</si>
  <si>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</si>
  <si>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</si>
  <si>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</si>
  <si>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</si>
  <si>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</si>
  <si>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</si>
  <si>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</si>
  <si>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</si>
  <si>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</si>
  <si>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</si>
  <si>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</si>
  <si>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</si>
  <si>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</si>
  <si>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</si>
  <si>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</si>
  <si>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</si>
  <si>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</si>
  <si>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</si>
  <si>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</si>
  <si>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</si>
  <si>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</si>
  <si>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</si>
  <si>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</si>
  <si>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</si>
  <si>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</si>
  <si>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</si>
  <si>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</si>
  <si>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</si>
  <si>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</si>
  <si>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</si>
  <si>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</si>
  <si>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</si>
  <si>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</si>
  <si>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</si>
  <si>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</si>
  <si>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</si>
  <si>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</si>
  <si>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</si>
  <si>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</si>
  <si>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</si>
  <si>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</si>
  <si>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</si>
  <si>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</si>
  <si>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</si>
  <si>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</si>
  <si>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</si>
  <si>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</si>
  <si>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</si>
  <si>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</si>
  <si>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</si>
  <si>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</si>
  <si>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</si>
  <si>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</si>
  <si>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</si>
  <si>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</si>
  <si>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</si>
  <si>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</si>
  <si>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</si>
  <si>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</si>
  <si>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</si>
  <si>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</si>
  <si>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</si>
  <si>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</si>
  <si>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</si>
  <si>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</si>
  <si>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</si>
  <si>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</si>
  <si>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</si>
  <si>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</si>
  <si>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</si>
  <si>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</si>
  <si>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</si>
  <si>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</si>
  <si>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</si>
  <si>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</si>
  <si>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</si>
  <si>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</si>
  <si>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</si>
  <si>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</si>
  <si>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</si>
  <si>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</si>
  <si>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</si>
  <si>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</si>
  <si>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</si>
  <si>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</si>
  <si>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</si>
  <si>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</si>
  <si>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</si>
  <si>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</si>
  <si>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</si>
  <si>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</si>
  <si>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</si>
  <si>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</si>
  <si>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</si>
  <si>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</si>
  <si>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</si>
  <si>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</si>
  <si>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</si>
  <si>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</si>
  <si>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</si>
  <si>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</si>
  <si>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</si>
  <si>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</si>
  <si>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</si>
  <si>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</si>
  <si>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</si>
  <si>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</si>
  <si>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</si>
  <si>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</si>
  <si>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</si>
  <si>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</si>
  <si>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</si>
  <si>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</si>
  <si>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</si>
  <si>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</si>
  <si>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</si>
  <si>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</si>
  <si>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</si>
  <si>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</si>
  <si>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</si>
  <si>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</si>
  <si>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</si>
  <si>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</si>
  <si>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</si>
  <si>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</si>
  <si>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</si>
  <si>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</si>
  <si>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</si>
  <si>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</si>
  <si>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</si>
  <si>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</si>
  <si>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</si>
  <si>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</si>
  <si>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</si>
  <si>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</si>
  <si>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</si>
  <si>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</si>
  <si>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</si>
  <si>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</si>
  <si>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</si>
  <si>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</si>
  <si>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</si>
  <si>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</si>
  <si>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</si>
  <si>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</si>
  <si>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</si>
  <si>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</si>
  <si>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</si>
  <si>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</si>
  <si>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</si>
  <si>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</si>
  <si>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</si>
  <si>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</si>
  <si>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</si>
  <si>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</si>
  <si>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</si>
  <si>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</si>
  <si>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</si>
  <si>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</si>
  <si>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</si>
  <si>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</si>
  <si>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</si>
  <si>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</si>
  <si>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</si>
  <si>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</si>
  <si>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</si>
  <si>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</si>
  <si>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</si>
  <si>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</si>
  <si>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</si>
  <si>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</si>
  <si>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</si>
  <si>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</si>
  <si>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</si>
  <si>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</si>
  <si>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</si>
  <si>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</si>
  <si>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</si>
  <si>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</si>
  <si>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</si>
  <si>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</si>
  <si>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</si>
  <si>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</si>
  <si>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</si>
  <si>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</si>
  <si>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</si>
  <si>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</si>
  <si>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</si>
  <si>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</si>
  <si>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</si>
  <si>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</si>
  <si>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</si>
  <si>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</si>
  <si>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</si>
  <si>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</si>
  <si>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</si>
  <si>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</si>
  <si>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</si>
  <si>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</si>
  <si>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</si>
  <si>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</si>
  <si>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</si>
  <si>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</si>
  <si>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</si>
  <si>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</si>
  <si>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</si>
  <si>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</si>
  <si>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</si>
  <si>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</si>
  <si>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</si>
  <si>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</si>
  <si>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</si>
  <si>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</si>
  <si>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</si>
  <si>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</si>
  <si>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</si>
  <si>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</si>
  <si>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</si>
  <si>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</si>
  <si>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</si>
  <si>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</si>
  <si>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</si>
  <si>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</si>
  <si>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</si>
  <si>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</si>
  <si>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</si>
  <si>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</si>
  <si>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</si>
  <si>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</si>
  <si>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</si>
  <si>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</si>
  <si>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</si>
  <si>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</si>
  <si>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</si>
  <si>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</si>
  <si>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</si>
  <si>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</si>
  <si>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</si>
  <si>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</si>
  <si>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</si>
  <si>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</si>
  <si>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</si>
  <si>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</si>
  <si>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</si>
  <si>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</si>
  <si>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</si>
  <si>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</si>
  <si>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</si>
  <si>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</si>
  <si>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</si>
  <si>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</si>
  <si>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</si>
  <si>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</si>
  <si>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</si>
  <si>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</si>
  <si>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</si>
  <si>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</si>
  <si>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</si>
  <si>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</si>
  <si>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</si>
  <si>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</si>
  <si>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</si>
  <si>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</si>
  <si>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</si>
  <si>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</si>
  <si>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</si>
  <si>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</si>
  <si>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</si>
  <si>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</si>
  <si>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</si>
  <si>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</si>
  <si>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</si>
  <si>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</si>
  <si>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</si>
  <si>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</si>
  <si>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</si>
  <si>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</si>
  <si>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</si>
  <si>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</si>
  <si>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</si>
  <si>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</si>
  <si>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</si>
  <si>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</si>
  <si>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</si>
  <si>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</si>
  <si>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</si>
  <si>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</si>
  <si>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</si>
  <si>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</si>
  <si>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</si>
  <si>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</si>
  <si>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</si>
  <si>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</si>
  <si>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</si>
  <si>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</si>
  <si>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</si>
  <si>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</si>
  <si>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</si>
  <si>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</si>
  <si>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</si>
  <si>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</si>
  <si>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</si>
  <si>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</si>
  <si>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</si>
  <si>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</si>
  <si>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</si>
  <si>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</si>
  <si>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</si>
  <si>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</si>
  <si>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</si>
  <si>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</si>
  <si>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</si>
  <si>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</si>
  <si>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</si>
  <si>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</si>
  <si>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</si>
  <si>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</si>
  <si>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</si>
  <si>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</si>
  <si>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</si>
  <si>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</si>
  <si>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</si>
  <si>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</si>
  <si>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</si>
  <si>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</si>
  <si>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</si>
  <si>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</si>
  <si>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</si>
  <si>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</si>
  <si>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</si>
  <si>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</si>
  <si>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</si>
  <si>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</si>
  <si>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</si>
  <si>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</si>
  <si>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</si>
  <si>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</si>
  <si>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</si>
  <si>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</si>
  <si>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</si>
  <si>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</si>
  <si>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</si>
  <si>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</si>
  <si>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</si>
  <si>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</si>
  <si>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</si>
  <si>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</si>
  <si>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</si>
  <si>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</si>
  <si>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</si>
  <si>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</si>
  <si>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</si>
  <si>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</si>
  <si>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</si>
  <si>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</si>
  <si>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</si>
  <si>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</si>
  <si>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</si>
  <si>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</si>
  <si>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</si>
  <si>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</si>
  <si>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</si>
  <si>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</si>
  <si>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</si>
  <si>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</si>
  <si>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</si>
  <si>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</si>
  <si>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</si>
  <si>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</si>
  <si>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</si>
  <si>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</si>
  <si>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</si>
  <si>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</si>
  <si>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</si>
  <si>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</si>
  <si>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</si>
  <si>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</si>
  <si>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</si>
  <si>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</si>
  <si>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</si>
  <si>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</si>
  <si>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</si>
  <si>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</si>
  <si>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</si>
  <si>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</si>
  <si>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</si>
  <si>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</si>
  <si>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</si>
  <si>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</si>
  <si>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</si>
  <si>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</si>
  <si>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</si>
  <si>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</si>
  <si>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</si>
  <si>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</si>
  <si>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</si>
  <si>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</si>
  <si>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</si>
  <si>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</si>
  <si>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</si>
  <si>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</si>
  <si>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</si>
  <si>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</si>
  <si>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</si>
  <si>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</si>
  <si>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</si>
  <si>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</si>
  <si>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</si>
  <si>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</si>
  <si>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</si>
  <si>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</si>
  <si>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</si>
  <si>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</si>
  <si>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</si>
  <si>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</si>
  <si>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</si>
  <si>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</si>
  <si>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</si>
  <si>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</si>
  <si>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</si>
  <si>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</si>
  <si>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</si>
  <si>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</si>
  <si>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</si>
  <si>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</si>
  <si>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</si>
  <si>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</si>
  <si>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</si>
  <si>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</si>
  <si>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</si>
  <si>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</si>
  <si>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</si>
  <si>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</si>
  <si>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</si>
  <si>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</si>
  <si>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</si>
  <si>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</si>
  <si>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</si>
  <si>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</si>
  <si>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</si>
  <si>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</si>
  <si>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</si>
  <si>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</si>
  <si>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</si>
  <si>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</si>
  <si>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</si>
  <si>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</si>
  <si>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</si>
  <si>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</si>
  <si>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</si>
  <si>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</si>
  <si>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</si>
  <si>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</si>
  <si>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</si>
  <si>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</si>
  <si>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</si>
  <si>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</si>
  <si>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</si>
  <si>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</si>
  <si>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</si>
  <si>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</si>
  <si>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</si>
  <si>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</si>
  <si>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</si>
  <si>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</si>
  <si>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</si>
  <si>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</si>
  <si>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</si>
  <si>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</si>
  <si>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</si>
  <si>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</si>
  <si>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</si>
  <si>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</si>
  <si>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</si>
  <si>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</si>
  <si>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</si>
  <si>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</si>
  <si>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</si>
  <si>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</si>
  <si>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</si>
  <si>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</si>
  <si>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</si>
  <si>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</si>
  <si>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</si>
  <si>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</si>
  <si>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</si>
  <si>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</si>
  <si>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</si>
  <si>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</si>
  <si>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</si>
  <si>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</si>
  <si>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</si>
  <si>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</si>
  <si>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</si>
  <si>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</si>
  <si>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</si>
  <si>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</si>
  <si>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</si>
  <si>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</si>
  <si>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</si>
  <si>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</si>
  <si>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</si>
  <si>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</si>
  <si>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</si>
  <si>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</si>
  <si>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</si>
  <si>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</si>
  <si>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</si>
  <si>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</si>
  <si>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</si>
  <si>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</si>
  <si>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</si>
  <si>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</si>
  <si>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</si>
  <si>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</si>
  <si>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</si>
  <si>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</si>
  <si>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</si>
  <si>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</si>
  <si>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</si>
  <si>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</si>
  <si>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</si>
  <si>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</si>
  <si>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</si>
  <si>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</si>
  <si>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</si>
  <si>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</si>
  <si>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</si>
  <si>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</si>
  <si>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</si>
  <si>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</si>
  <si>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</si>
  <si>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</si>
  <si>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</si>
  <si>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</si>
  <si>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</si>
  <si>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</si>
  <si>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</si>
  <si>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</si>
  <si>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</si>
  <si>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</si>
  <si>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</si>
  <si>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</si>
  <si>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</si>
  <si>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</si>
  <si>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</si>
  <si>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</si>
  <si>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</si>
  <si>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</si>
  <si>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</si>
  <si>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</si>
  <si>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</si>
  <si>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</si>
  <si>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</si>
  <si>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</si>
  <si>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</si>
  <si>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</si>
  <si>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</si>
  <si>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</si>
  <si>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</si>
  <si>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</si>
  <si>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</si>
  <si>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</si>
  <si>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</si>
  <si>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</si>
  <si>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</si>
  <si>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</si>
  <si>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</si>
  <si>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</si>
  <si>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</si>
  <si>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</si>
  <si>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</si>
  <si>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</si>
  <si>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</si>
  <si>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</si>
  <si>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</si>
  <si>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</si>
  <si>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</si>
  <si>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</si>
  <si>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</si>
  <si>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</si>
  <si>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</si>
  <si>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</si>
  <si>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</si>
  <si>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</si>
  <si>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</si>
  <si>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</si>
  <si>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</si>
  <si>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</si>
  <si>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</si>
  <si>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</si>
  <si>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</si>
  <si>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</si>
  <si>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</si>
  <si>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</si>
  <si>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</si>
  <si>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</si>
  <si>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</si>
  <si>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</si>
  <si>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</si>
  <si>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</si>
  <si>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</si>
  <si>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</si>
  <si>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</si>
  <si>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</si>
  <si>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</si>
  <si>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</si>
  <si>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</si>
  <si>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</si>
  <si>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</si>
  <si>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</si>
  <si>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</si>
  <si>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</si>
  <si>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</si>
  <si>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</si>
  <si>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</si>
  <si>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</si>
  <si>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</si>
  <si>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</si>
  <si>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</si>
  <si>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</si>
  <si>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</si>
  <si>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</si>
  <si>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</si>
  <si>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</si>
  <si>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</si>
  <si>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</si>
  <si>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</si>
  <si>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</si>
  <si>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</si>
  <si>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</si>
  <si>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</si>
  <si>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</si>
  <si>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</si>
  <si>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</si>
  <si>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</si>
  <si>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</si>
  <si>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</si>
  <si>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</si>
  <si>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</si>
  <si>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</si>
  <si>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</si>
  <si>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</si>
  <si>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</si>
  <si>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</si>
  <si>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</si>
  <si>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</si>
  <si>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</si>
  <si>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</si>
  <si>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</si>
  <si>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</si>
  <si>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</si>
  <si>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</si>
  <si>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</si>
  <si>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</si>
  <si>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</si>
  <si>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</si>
  <si>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</si>
  <si>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</si>
  <si>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</si>
  <si>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</si>
  <si>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</si>
  <si>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</si>
  <si>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</si>
  <si>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</si>
  <si>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</si>
  <si>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</si>
  <si>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</si>
  <si>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</si>
  <si>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</si>
  <si>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</si>
  <si>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</si>
  <si>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</si>
  <si>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</si>
  <si>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</si>
  <si>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</si>
  <si>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</si>
  <si>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</si>
  <si>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</si>
  <si>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</si>
  <si>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</si>
  <si>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</si>
  <si>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</si>
  <si>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</si>
  <si>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</si>
  <si>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</si>
  <si>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</si>
  <si>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</si>
  <si>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</si>
  <si>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</si>
  <si>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</si>
  <si>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</si>
  <si>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</si>
  <si>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</si>
  <si>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</si>
  <si>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</si>
  <si>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</si>
  <si>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</si>
  <si>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</si>
  <si>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</si>
  <si>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</si>
  <si>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</si>
  <si>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</si>
  <si>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</si>
  <si>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</si>
  <si>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</si>
  <si>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</si>
  <si>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</si>
  <si>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</si>
  <si>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</si>
  <si>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</si>
  <si>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</si>
  <si>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</si>
  <si>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</si>
  <si>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</si>
  <si>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</si>
  <si>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</si>
  <si>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</si>
  <si>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</si>
  <si>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</si>
  <si>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</si>
  <si>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</si>
  <si>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</si>
  <si>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</si>
  <si>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</si>
  <si>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</si>
  <si>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</si>
  <si>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</si>
  <si>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</si>
  <si>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</si>
  <si>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</si>
  <si>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</si>
  <si>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</si>
  <si>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</si>
  <si>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</si>
  <si>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</si>
  <si>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</si>
  <si>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</si>
  <si>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</si>
  <si>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</si>
  <si>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</si>
  <si>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</si>
  <si>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</si>
  <si>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</si>
  <si>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</si>
  <si>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</si>
  <si>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</si>
  <si>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</si>
  <si>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</si>
  <si>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</si>
  <si>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</si>
  <si>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</si>
  <si>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</si>
  <si>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</si>
  <si>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</si>
  <si>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</si>
  <si>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</si>
  <si>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</si>
  <si>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</si>
  <si>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</si>
  <si>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</si>
  <si>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</si>
  <si>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</si>
  <si>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</si>
  <si>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</si>
  <si>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</si>
  <si>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</si>
  <si>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</si>
  <si>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</si>
  <si>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</si>
  <si>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</si>
  <si>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</si>
  <si>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</si>
  <si>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</si>
  <si>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</si>
  <si>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</si>
  <si>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</si>
  <si>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</si>
  <si>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</si>
  <si>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</si>
  <si>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</si>
  <si>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</si>
  <si>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</si>
  <si>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</si>
  <si>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</si>
  <si>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</si>
  <si>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</si>
  <si>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</si>
  <si>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</si>
  <si>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</si>
  <si>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</si>
  <si>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</si>
  <si>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</si>
  <si>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</si>
  <si>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</si>
  <si>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</si>
  <si>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</si>
  <si>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</si>
  <si>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</si>
  <si>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</si>
  <si>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</si>
  <si>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</si>
  <si>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</si>
  <si>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</si>
  <si>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</si>
  <si>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</si>
  <si>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</si>
  <si>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</si>
  <si>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</si>
  <si>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</si>
  <si>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</si>
  <si>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</si>
  <si>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</si>
  <si>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</si>
  <si>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</si>
  <si>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</si>
  <si>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</si>
  <si>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</si>
  <si>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</si>
  <si>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</si>
  <si>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</si>
  <si>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</si>
  <si>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</si>
  <si>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</si>
  <si>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</si>
  <si>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</si>
  <si>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</si>
  <si>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</si>
  <si>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</si>
  <si>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</si>
  <si>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</si>
  <si>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</si>
  <si>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</si>
  <si>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</si>
  <si>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</si>
  <si>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</si>
  <si>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</si>
  <si>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</si>
  <si>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</si>
  <si>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</si>
  <si>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</si>
  <si>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</si>
  <si>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</si>
  <si>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</si>
  <si>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</si>
  <si>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</si>
  <si>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</si>
  <si>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</si>
  <si>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</si>
  <si>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</si>
  <si>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</si>
  <si>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</si>
  <si>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</si>
  <si>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</si>
  <si>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</si>
  <si>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</si>
  <si>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</si>
  <si>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</si>
  <si>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</si>
  <si>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</si>
  <si>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</si>
  <si>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</si>
  <si>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</si>
  <si>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</si>
  <si>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</si>
  <si>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</si>
  <si>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</si>
  <si>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</si>
  <si>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</si>
  <si>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</si>
  <si>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</si>
  <si>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</si>
  <si>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</si>
  <si>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</si>
  <si>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</si>
  <si>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</si>
  <si>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</si>
  <si>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</si>
  <si>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</si>
  <si>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</si>
  <si>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</si>
  <si>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</si>
  <si>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</si>
  <si>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</si>
  <si>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</si>
  <si>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</si>
  <si>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</si>
  <si>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</si>
  <si>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</si>
  <si>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</si>
  <si>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</si>
  <si>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</si>
  <si>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</si>
  <si>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</si>
  <si>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</si>
  <si>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</si>
  <si>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</si>
  <si>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</si>
  <si>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</si>
  <si>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</si>
  <si>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</si>
  <si>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</si>
  <si>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</si>
  <si>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</si>
  <si>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</si>
  <si>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</si>
  <si>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</si>
  <si>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</si>
  <si>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</si>
  <si>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</si>
  <si>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</si>
  <si>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</si>
  <si>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</si>
  <si>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</si>
  <si>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</si>
  <si>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</si>
  <si>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</si>
  <si>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</si>
  <si>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</si>
  <si>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</si>
  <si>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</si>
  <si>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</si>
  <si>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</si>
  <si>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</si>
  <si>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</si>
  <si>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</si>
  <si>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</si>
  <si>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</si>
  <si>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</si>
  <si>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</si>
  <si>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</si>
  <si>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</si>
  <si>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</si>
  <si>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</si>
  <si>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</si>
  <si>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</si>
  <si>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</si>
  <si>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</si>
  <si>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</si>
  <si>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</si>
  <si>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</si>
  <si>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</si>
  <si>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</si>
  <si>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</si>
  <si>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</si>
  <si>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</si>
  <si>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</si>
  <si>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</si>
  <si>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</si>
  <si>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</si>
  <si>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</si>
  <si>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</si>
  <si>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</si>
  <si>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</si>
  <si>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</si>
  <si>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</si>
  <si>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</si>
  <si>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</si>
  <si>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</si>
  <si>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</si>
  <si>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</si>
  <si>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</si>
  <si>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</si>
  <si>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Row Labels</t>
  </si>
  <si>
    <t>Grand Total</t>
  </si>
  <si>
    <t>Count of TX ID</t>
  </si>
  <si>
    <t>Sum of Quantity</t>
  </si>
  <si>
    <t>Sum of Amount</t>
  </si>
  <si>
    <t>Average of Rating C</t>
  </si>
  <si>
    <t>Values for Display</t>
  </si>
  <si>
    <t>Qty</t>
  </si>
  <si>
    <t>Avg. Days</t>
  </si>
  <si>
    <t>Average of Days to Deliver</t>
  </si>
  <si>
    <t>For trends</t>
  </si>
  <si>
    <t>Column Labels</t>
  </si>
  <si>
    <t>Female</t>
  </si>
  <si>
    <t>Male</t>
  </si>
  <si>
    <t>Other</t>
  </si>
  <si>
    <t>Unknown</t>
  </si>
  <si>
    <t>For matrix</t>
  </si>
  <si>
    <t>Order Qty Analysis</t>
  </si>
  <si>
    <t>6 to 10</t>
  </si>
  <si>
    <t>More than 10</t>
  </si>
  <si>
    <t>Products by quantity</t>
  </si>
  <si>
    <t>Geographical Analysis</t>
  </si>
  <si>
    <t>Map Chart Stuff(Qty)</t>
  </si>
  <si>
    <t>Map Chart Stuff(Amount)</t>
  </si>
  <si>
    <t>Shipment Duration Analysis</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</si>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</sst>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8" formatCode="&quot;R&quot;#,##0.00"/>
    <numFmt numFmtId="169" formatCode="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5">
    <border>
      <left/>
      <right/>
      <top/>
      <bottom/>
      <diagonal/>
    </border>
    <border>
      <left/>
      <right/>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s>
  <cellStyleXfs count="2">
    <xf numFmtId="0" fontId="0" fillId="0" borderId="0"/>
    <xf numFmtId="43" fontId="2" fillId="0" borderId="0" applyFont="0" applyFill="0" applyBorder="0" applyAlignment="0" applyProtection="0"/>
  </cellStyleXfs>
  <cellXfs count="2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Font="1"/>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168" fontId="0" fillId="0" borderId="0" xfId="0" applyNumberFormat="1"/>
    <xf numFmtId="0" fontId="0" fillId="0" borderId="0" xfId="0" applyFill="1"/>
    <xf numFmtId="10" fontId="0" fillId="0" borderId="0" xfId="0" applyNumberFormat="1"/>
    <xf numFmtId="169" fontId="0" fillId="0" borderId="0" xfId="0" applyNumberFormat="1" applyBorder="1"/>
    <xf numFmtId="0" fontId="0" fillId="0" borderId="1" xfId="0" applyBorder="1"/>
    <xf numFmtId="0" fontId="0" fillId="0" borderId="0" xfId="0" applyBorder="1"/>
    <xf numFmtId="0" fontId="0" fillId="0" borderId="2" xfId="0" applyBorder="1"/>
    <xf numFmtId="169" fontId="0" fillId="0" borderId="3" xfId="0" applyNumberFormat="1" applyBorder="1"/>
    <xf numFmtId="169" fontId="0" fillId="0" borderId="1" xfId="0" applyNumberFormat="1" applyBorder="1"/>
    <xf numFmtId="169" fontId="0" fillId="0" borderId="4" xfId="0" applyNumberFormat="1" applyBorder="1"/>
    <xf numFmtId="0" fontId="0" fillId="0" borderId="3" xfId="0" applyBorder="1"/>
    <xf numFmtId="0" fontId="1" fillId="0" borderId="0" xfId="0" applyFont="1"/>
  </cellXfs>
  <cellStyles count="2">
    <cellStyle name="Comma" xfId="1" builtinId="3"/>
    <cellStyle name="Normal" xfId="0" builtinId="0"/>
  </cellStyles>
  <dxfs count="9">
    <dxf>
      <numFmt numFmtId="168" formatCode="&quot;R&quot;#,##0.00"/>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0" formatCode="General"/>
    </dxf>
    <dxf>
      <numFmt numFmtId="0" formatCode="General"/>
    </dxf>
    <dxf>
      <numFmt numFmtId="164" formatCode="d\-mmm\-yy"/>
    </dxf>
    <dxf>
      <numFmt numFmtId="164" formatCode="d\-mmm\-yy"/>
    </dxf>
  </dxfs>
  <tableStyles count="0" defaultTableStyle="TableStyleMedium2" defaultPivotStyle="PivotStyleLight16"/>
  <colors>
    <mruColors>
      <color rgb="FF2447DA"/>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[Excel-workbook.xlsx]Pivots!pvtTrends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Last 13 Week Trends -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9F38-47EF-9999-3ACA8AD33F54}"/>
            </c:ext>
          </c:extLst>
        </c:ser>
        <c:dLbls>
          <c:showLegendKey val="0"/>
          <c:showVal val="0"/>
          <c:showCatName val="0"/>
          <c:showSerName val="0"/>
          <c:showPercent val="0"/>
          <c:showBubbleSize val="0"/>
        </c:dLbls>
        <c:marker val="1"/>
        <c:smooth val="0"/>
        <c:axId val="1545821776"/>
        <c:axId val="1545802576"/>
      </c:lineChart>
      <c:lineChart>
        <c:grouping val="standard"/>
        <c:varyColors val="0"/>
        <c:ser>
          <c:idx val="1"/>
          <c:order val="1"/>
          <c:tx>
            <c:strRef>
              <c:f>Pivots!$C$8</c:f>
              <c:strCache>
                <c:ptCount val="1"/>
                <c:pt idx="0">
                  <c:v>Sum of Amount</c:v>
                </c:pt>
              </c:strCache>
            </c:strRef>
          </c:tx>
          <c:spPr>
            <a:ln w="28575" cap="rnd">
              <a:solidFill>
                <a:schemeClr val="accent2"/>
              </a:solidFill>
              <a:round/>
            </a:ln>
            <a:effectLst/>
          </c:spPr>
          <c:marker>
            <c:symbol val="none"/>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"R"#\ ##0.00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9F38-47EF-9999-3ACA8AD33F54}"/>
            </c:ext>
          </c:extLst>
        </c:ser>
        <c:dLbls>
          <c:showLegendKey val="0"/>
          <c:showVal val="0"/>
          <c:showCatName val="0"/>
          <c:showSerName val="0"/>
          <c:showPercent val="0"/>
          <c:showBubbleSize val="0"/>
        </c:dLbls>
        <c:marker val="1"/>
        <c:smooth val="0"/>
        <c:axId val="1545813616"/>
        <c:axId val="1545816976"/>
      </c:lineChart>
      <c:catAx>
        <c:axId val="154582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02576"/>
        <c:crosses val="autoZero"/>
        <c:auto val="1"/>
        <c:lblAlgn val="ctr"/>
        <c:lblOffset val="100"/>
        <c:noMultiLvlLbl val="0"/>
      </c:catAx>
      <c:valAx>
        <c:axId val="154580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21776"/>
        <c:crosses val="autoZero"/>
        <c:crossBetween val="between"/>
      </c:valAx>
      <c:valAx>
        <c:axId val="1545816976"/>
        <c:scaling>
          <c:orientation val="minMax"/>
        </c:scaling>
        <c:delete val="0"/>
        <c:axPos val="r"/>
        <c:numFmt formatCode="&quot;R&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13616"/>
        <c:crosses val="max"/>
        <c:crossBetween val="between"/>
      </c:valAx>
      <c:catAx>
        <c:axId val="1545813616"/>
        <c:scaling>
          <c:orientation val="minMax"/>
        </c:scaling>
        <c:delete val="1"/>
        <c:axPos val="b"/>
        <c:numFmt formatCode="General" sourceLinked="1"/>
        <c:majorTickMark val="out"/>
        <c:minorTickMark val="none"/>
        <c:tickLblPos val="nextTo"/>
        <c:crossAx val="1545816976"/>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[Excel-workbook.xlsx]Sheet5!pvtQty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447DA"/>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rgbClr val="2447DA"/>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1</c:v>
                </c:pt>
                <c:pt idx="1">
                  <c:v>2</c:v>
                </c:pt>
                <c:pt idx="2">
                  <c:v>3</c:v>
                </c:pt>
                <c:pt idx="3">
                  <c:v>4</c:v>
                </c:pt>
                <c:pt idx="4">
                  <c:v>5</c:v>
                </c:pt>
                <c:pt idx="5">
                  <c:v>6 to 10</c:v>
                </c:pt>
                <c:pt idx="6">
                  <c:v>More than 10</c:v>
                </c:pt>
              </c:strCache>
            </c:strRef>
          </c:cat>
          <c:val>
            <c:numRef>
              <c:f>Sheet5!$B$4:$B$11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E0AB-4708-AD6E-F89BC1158CCF}"/>
            </c:ext>
          </c:extLst>
        </c:ser>
        <c:dLbls>
          <c:showLegendKey val="0"/>
          <c:showVal val="0"/>
          <c:showCatName val="0"/>
          <c:showSerName val="0"/>
          <c:showPercent val="0"/>
          <c:showBubbleSize val="0"/>
        </c:dLbls>
        <c:gapWidth val="0"/>
        <c:overlap val="-27"/>
        <c:axId val="1584581600"/>
        <c:axId val="1584583040"/>
      </c:barChart>
      <c:catAx>
        <c:axId val="15845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83040"/>
        <c:crosses val="autoZero"/>
        <c:auto val="1"/>
        <c:lblAlgn val="ctr"/>
        <c:lblOffset val="100"/>
        <c:noMultiLvlLbl val="0"/>
      </c:catAx>
      <c:valAx>
        <c:axId val="158458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8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[Excel-workbook.xlsx]Sheet6!pvtProduct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Which Products are Popular? </a:t>
            </a:r>
            <a:r>
              <a:rPr lang="en-ZA"/>
              <a:t>Breakdown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Sheet6!$B$3:$B$4</c:f>
              <c:strCache>
                <c:ptCount val="1"/>
                <c:pt idx="0">
                  <c:v>Female</c:v>
                </c:pt>
              </c:strCache>
            </c:strRef>
          </c:tx>
          <c:spPr>
            <a:solidFill>
              <a:schemeClr val="accent1"/>
            </a:solidFill>
            <a:ln>
              <a:noFill/>
            </a:ln>
            <a:effectLst/>
          </c:spPr>
          <c:invertIfNegative val="0"/>
          <c:cat>
            <c:strRef>
              <c:f>Sheet6!$A$5:$A$25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Sheet6!$B$5:$B$25</c:f>
              <c:numCache>
                <c:formatCode>General</c:formatCode>
                <c:ptCount val="20"/>
                <c:pt idx="0">
                  <c:v>43</c:v>
                </c:pt>
                <c:pt idx="1">
                  <c:v>482</c:v>
                </c:pt>
                <c:pt idx="2">
                  <c:v>234</c:v>
                </c:pt>
                <c:pt idx="3">
                  <c:v>153</c:v>
                </c:pt>
                <c:pt idx="4">
                  <c:v>431</c:v>
                </c:pt>
                <c:pt idx="5">
                  <c:v>264</c:v>
                </c:pt>
                <c:pt idx="6">
                  <c:v>716</c:v>
                </c:pt>
                <c:pt idx="7">
                  <c:v>26</c:v>
                </c:pt>
                <c:pt idx="8">
                  <c:v>189</c:v>
                </c:pt>
                <c:pt idx="9">
                  <c:v>179</c:v>
                </c:pt>
                <c:pt idx="10">
                  <c:v>127</c:v>
                </c:pt>
                <c:pt idx="11">
                  <c:v>296</c:v>
                </c:pt>
                <c:pt idx="12">
                  <c:v>428</c:v>
                </c:pt>
                <c:pt idx="13">
                  <c:v>627</c:v>
                </c:pt>
                <c:pt idx="14">
                  <c:v>445</c:v>
                </c:pt>
                <c:pt idx="15">
                  <c:v>99</c:v>
                </c:pt>
                <c:pt idx="16">
                  <c:v>568</c:v>
                </c:pt>
                <c:pt idx="17">
                  <c:v>75</c:v>
                </c:pt>
                <c:pt idx="18">
                  <c:v>744</c:v>
                </c:pt>
                <c:pt idx="19">
                  <c:v>146</c:v>
                </c:pt>
              </c:numCache>
            </c:numRef>
          </c:val>
          <c:extLst>
            <c:ext xmlns:c16="http://schemas.microsoft.com/office/drawing/2014/chart" uri="{C3380CC4-5D6E-409C-BE32-E72D297353CC}">
              <c16:uniqueId val="{00000000-3872-48F5-89AE-B81795050F8A}"/>
            </c:ext>
          </c:extLst>
        </c:ser>
        <c:ser>
          <c:idx val="1"/>
          <c:order val="1"/>
          <c:tx>
            <c:strRef>
              <c:f>Sheet6!$C$3:$C$4</c:f>
              <c:strCache>
                <c:ptCount val="1"/>
                <c:pt idx="0">
                  <c:v>Male</c:v>
                </c:pt>
              </c:strCache>
            </c:strRef>
          </c:tx>
          <c:spPr>
            <a:solidFill>
              <a:schemeClr val="accent2"/>
            </a:solidFill>
            <a:ln>
              <a:noFill/>
            </a:ln>
            <a:effectLst/>
          </c:spPr>
          <c:invertIfNegative val="0"/>
          <c:cat>
            <c:strRef>
              <c:f>Sheet6!$A$5:$A$25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Sheet6!$C$5:$C$25</c:f>
              <c:numCache>
                <c:formatCode>General</c:formatCode>
                <c:ptCount val="20"/>
                <c:pt idx="0">
                  <c:v>90</c:v>
                </c:pt>
                <c:pt idx="1">
                  <c:v>295</c:v>
                </c:pt>
                <c:pt idx="2">
                  <c:v>93</c:v>
                </c:pt>
                <c:pt idx="3">
                  <c:v>246</c:v>
                </c:pt>
                <c:pt idx="4">
                  <c:v>187</c:v>
                </c:pt>
                <c:pt idx="5">
                  <c:v>318</c:v>
                </c:pt>
                <c:pt idx="6">
                  <c:v>598</c:v>
                </c:pt>
                <c:pt idx="7">
                  <c:v>35</c:v>
                </c:pt>
                <c:pt idx="8">
                  <c:v>168</c:v>
                </c:pt>
                <c:pt idx="9">
                  <c:v>76</c:v>
                </c:pt>
                <c:pt idx="10">
                  <c:v>118</c:v>
                </c:pt>
                <c:pt idx="11">
                  <c:v>275</c:v>
                </c:pt>
                <c:pt idx="12">
                  <c:v>293</c:v>
                </c:pt>
                <c:pt idx="13">
                  <c:v>393</c:v>
                </c:pt>
                <c:pt idx="14">
                  <c:v>202</c:v>
                </c:pt>
                <c:pt idx="15">
                  <c:v>69</c:v>
                </c:pt>
                <c:pt idx="16">
                  <c:v>306</c:v>
                </c:pt>
                <c:pt idx="17">
                  <c:v>103</c:v>
                </c:pt>
                <c:pt idx="18">
                  <c:v>713</c:v>
                </c:pt>
                <c:pt idx="19">
                  <c:v>94</c:v>
                </c:pt>
              </c:numCache>
            </c:numRef>
          </c:val>
          <c:extLst>
            <c:ext xmlns:c16="http://schemas.microsoft.com/office/drawing/2014/chart" uri="{C3380CC4-5D6E-409C-BE32-E72D297353CC}">
              <c16:uniqueId val="{00000001-3872-48F5-89AE-B81795050F8A}"/>
            </c:ext>
          </c:extLst>
        </c:ser>
        <c:ser>
          <c:idx val="2"/>
          <c:order val="2"/>
          <c:tx>
            <c:strRef>
              <c:f>Sheet6!$D$3:$D$4</c:f>
              <c:strCache>
                <c:ptCount val="1"/>
                <c:pt idx="0">
                  <c:v>Other</c:v>
                </c:pt>
              </c:strCache>
            </c:strRef>
          </c:tx>
          <c:spPr>
            <a:solidFill>
              <a:schemeClr val="accent3"/>
            </a:solidFill>
            <a:ln>
              <a:noFill/>
            </a:ln>
            <a:effectLst/>
          </c:spPr>
          <c:invertIfNegative val="0"/>
          <c:cat>
            <c:strRef>
              <c:f>Sheet6!$A$5:$A$25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Sheet6!$D$5:$D$25</c:f>
              <c:numCache>
                <c:formatCode>General</c:formatCode>
                <c:ptCount val="20"/>
                <c:pt idx="0">
                  <c:v>8</c:v>
                </c:pt>
                <c:pt idx="1">
                  <c:v>8</c:v>
                </c:pt>
                <c:pt idx="2">
                  <c:v>19</c:v>
                </c:pt>
                <c:pt idx="3">
                  <c:v>30</c:v>
                </c:pt>
                <c:pt idx="4">
                  <c:v>14</c:v>
                </c:pt>
                <c:pt idx="5">
                  <c:v>15</c:v>
                </c:pt>
                <c:pt idx="6">
                  <c:v>18</c:v>
                </c:pt>
                <c:pt idx="7">
                  <c:v>4</c:v>
                </c:pt>
                <c:pt idx="8">
                  <c:v>10</c:v>
                </c:pt>
                <c:pt idx="9">
                  <c:v>3</c:v>
                </c:pt>
                <c:pt idx="10">
                  <c:v>13</c:v>
                </c:pt>
                <c:pt idx="11">
                  <c:v>9</c:v>
                </c:pt>
                <c:pt idx="13">
                  <c:v>29</c:v>
                </c:pt>
                <c:pt idx="14">
                  <c:v>14</c:v>
                </c:pt>
                <c:pt idx="15">
                  <c:v>3</c:v>
                </c:pt>
                <c:pt idx="16">
                  <c:v>22</c:v>
                </c:pt>
                <c:pt idx="17">
                  <c:v>4</c:v>
                </c:pt>
                <c:pt idx="18">
                  <c:v>90</c:v>
                </c:pt>
                <c:pt idx="19">
                  <c:v>4</c:v>
                </c:pt>
              </c:numCache>
            </c:numRef>
          </c:val>
          <c:extLst>
            <c:ext xmlns:c16="http://schemas.microsoft.com/office/drawing/2014/chart" uri="{C3380CC4-5D6E-409C-BE32-E72D297353CC}">
              <c16:uniqueId val="{00000002-3872-48F5-89AE-B81795050F8A}"/>
            </c:ext>
          </c:extLst>
        </c:ser>
        <c:ser>
          <c:idx val="3"/>
          <c:order val="3"/>
          <c:tx>
            <c:strRef>
              <c:f>Sheet6!$E$3:$E$4</c:f>
              <c:strCache>
                <c:ptCount val="1"/>
                <c:pt idx="0">
                  <c:v>Unknown</c:v>
                </c:pt>
              </c:strCache>
            </c:strRef>
          </c:tx>
          <c:spPr>
            <a:solidFill>
              <a:schemeClr val="accent4"/>
            </a:solidFill>
            <a:ln>
              <a:noFill/>
            </a:ln>
            <a:effectLst/>
          </c:spPr>
          <c:invertIfNegative val="0"/>
          <c:cat>
            <c:strRef>
              <c:f>Sheet6!$A$5:$A$25</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Sheet6!$E$5:$E$25</c:f>
              <c:numCache>
                <c:formatCode>General</c:formatCode>
                <c:ptCount val="20"/>
                <c:pt idx="0">
                  <c:v>6</c:v>
                </c:pt>
                <c:pt idx="1">
                  <c:v>22</c:v>
                </c:pt>
                <c:pt idx="2">
                  <c:v>24</c:v>
                </c:pt>
                <c:pt idx="3">
                  <c:v>8</c:v>
                </c:pt>
                <c:pt idx="4">
                  <c:v>15</c:v>
                </c:pt>
                <c:pt idx="5">
                  <c:v>9</c:v>
                </c:pt>
                <c:pt idx="6">
                  <c:v>214</c:v>
                </c:pt>
                <c:pt idx="8">
                  <c:v>31</c:v>
                </c:pt>
                <c:pt idx="10">
                  <c:v>12</c:v>
                </c:pt>
                <c:pt idx="11">
                  <c:v>23</c:v>
                </c:pt>
                <c:pt idx="12">
                  <c:v>24</c:v>
                </c:pt>
                <c:pt idx="13">
                  <c:v>137</c:v>
                </c:pt>
                <c:pt idx="14">
                  <c:v>39</c:v>
                </c:pt>
                <c:pt idx="15">
                  <c:v>24</c:v>
                </c:pt>
                <c:pt idx="16">
                  <c:v>16</c:v>
                </c:pt>
                <c:pt idx="17">
                  <c:v>6</c:v>
                </c:pt>
                <c:pt idx="18">
                  <c:v>98</c:v>
                </c:pt>
                <c:pt idx="19">
                  <c:v>28</c:v>
                </c:pt>
              </c:numCache>
            </c:numRef>
          </c:val>
          <c:extLst>
            <c:ext xmlns:c16="http://schemas.microsoft.com/office/drawing/2014/chart" uri="{C3380CC4-5D6E-409C-BE32-E72D297353CC}">
              <c16:uniqueId val="{00000003-3872-48F5-89AE-B81795050F8A}"/>
            </c:ext>
          </c:extLst>
        </c:ser>
        <c:dLbls>
          <c:showLegendKey val="0"/>
          <c:showVal val="0"/>
          <c:showCatName val="0"/>
          <c:showSerName val="0"/>
          <c:showPercent val="0"/>
          <c:showBubbleSize val="0"/>
        </c:dLbls>
        <c:gapWidth val="10"/>
        <c:overlap val="100"/>
        <c:axId val="1589113472"/>
        <c:axId val="1589113952"/>
      </c:barChart>
      <c:catAx>
        <c:axId val="158911347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13952"/>
        <c:crosses val="autoZero"/>
        <c:auto val="1"/>
        <c:lblAlgn val="ctr"/>
        <c:lblOffset val="100"/>
        <c:noMultiLvlLbl val="0"/>
      </c:catAx>
      <c:valAx>
        <c:axId val="15891139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1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[Excel-workbook.xlsx]Sheet6!pvtGender</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51412429378531"/>
              <c:y val="0.2970463345502947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FD960DE-CA7A-483A-9F91-FC95E763F718}" type="VALUE">
                  <a:rPr lang="en-US"/>
                  <a:pPr>
                    <a:defRPr/>
                  </a:pPr>
                  <a:t>[VALUE]</a:t>
                </a:fld>
                <a:endParaRPr lang="en-US"/>
              </a:p>
              <a:p>
                <a:pPr>
                  <a:defRPr/>
                </a:pPr>
                <a:r>
                  <a:rPr lang="en-US" baseline="0"/>
                  <a:t> </a:t>
                </a:r>
                <a:fld id="{865263C5-B7BD-4108-A6AB-E36CD10D97F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15:layout>
                <c:manualLayout>
                  <c:w val="0.23453107344632768"/>
                  <c:h val="0.21593269784838087"/>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11751412429378531"/>
              <c:y val="0.2025315917388373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FD75B7-3B24-4F58-9567-2E8BD6D3253D}" type="VALUE">
                  <a:rPr lang="en-US"/>
                  <a:pPr>
                    <a:defRPr/>
                  </a:pPr>
                  <a:t>[VALUE]</a:t>
                </a:fld>
                <a:r>
                  <a:rPr lang="en-US" baseline="0"/>
                  <a:t> </a:t>
                </a:r>
              </a:p>
              <a:p>
                <a:pPr>
                  <a:defRPr/>
                </a:pPr>
                <a:fld id="{E7D9792F-C395-4544-A414-ABCF7B332679}" type="PERCENTAGE">
                  <a:rPr lang="en-US" baseline="0"/>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layout>
            <c:manualLayout>
              <c:x val="-0.19887005649717515"/>
              <c:y val="-0.1147679019853411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21C40A-353B-4735-AC3B-296814583656}" type="VALUE">
                  <a:rPr lang="en-US"/>
                  <a:pPr>
                    <a:defRPr/>
                  </a:pPr>
                  <a:t>[VALUE]</a:t>
                </a:fld>
                <a:endParaRPr lang="en-US"/>
              </a:p>
              <a:p>
                <a:pPr>
                  <a:defRPr/>
                </a:pPr>
                <a:r>
                  <a:rPr lang="en-US" baseline="0"/>
                  <a:t> </a:t>
                </a:r>
                <a:fld id="{93C930AC-550D-4C90-B914-6A3ED7FFBA8C}"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2203389830508475"/>
              <c:y val="-0.1740579684061249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B59A0B-7F57-4306-AE0F-F751BD914812}" type="VALUE">
                  <a:rPr lang="en-US"/>
                  <a:pPr>
                    <a:defRPr/>
                  </a:pPr>
                  <a:t>[VALUE]</a:t>
                </a:fld>
                <a:endParaRPr lang="en-US"/>
              </a:p>
              <a:p>
                <a:pPr>
                  <a:defRPr/>
                </a:pPr>
                <a:r>
                  <a:rPr lang="en-US" baseline="0"/>
                  <a:t> </a:t>
                </a:r>
                <a:fld id="{9B608D62-A725-4D02-A63F-11522D067859}"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Sheet6!$J$3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93-4778-BE84-C463299D13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93-4778-BE84-C463299D13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93-4778-BE84-C463299D13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93-4778-BE84-C463299D13F1}"/>
              </c:ext>
            </c:extLst>
          </c:dPt>
          <c:dLbls>
            <c:dLbl>
              <c:idx val="0"/>
              <c:layout>
                <c:manualLayout>
                  <c:x val="0.11751412429378531"/>
                  <c:y val="0.2970463345502947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FD960DE-CA7A-483A-9F91-FC95E763F718}" type="VALUE">
                      <a:rPr lang="en-US"/>
                      <a:pPr>
                        <a:defRPr/>
                      </a:pPr>
                      <a:t>[VALUE]</a:t>
                    </a:fld>
                    <a:endParaRPr lang="en-US"/>
                  </a:p>
                  <a:p>
                    <a:pPr>
                      <a:defRPr/>
                    </a:pPr>
                    <a:r>
                      <a:rPr lang="en-US" baseline="0"/>
                      <a:t> </a:t>
                    </a:r>
                    <a:fld id="{865263C5-B7BD-4108-A6AB-E36CD10D97F8}"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15:layout>
                    <c:manualLayout>
                      <c:w val="0.23453107344632768"/>
                      <c:h val="0.21593269784838087"/>
                    </c:manualLayout>
                  </c15:layout>
                  <c15:dlblFieldTable/>
                  <c15:showDataLabelsRange val="0"/>
                </c:ext>
                <c:ext xmlns:c16="http://schemas.microsoft.com/office/drawing/2014/chart" uri="{C3380CC4-5D6E-409C-BE32-E72D297353CC}">
                  <c16:uniqueId val="{00000001-7793-4778-BE84-C463299D13F1}"/>
                </c:ext>
              </c:extLst>
            </c:dLbl>
            <c:dLbl>
              <c:idx val="1"/>
              <c:layout>
                <c:manualLayout>
                  <c:x val="-0.11751412429378531"/>
                  <c:y val="0.2025315917388373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FD75B7-3B24-4F58-9567-2E8BD6D3253D}" type="VALUE">
                      <a:rPr lang="en-US"/>
                      <a:pPr>
                        <a:defRPr/>
                      </a:pPr>
                      <a:t>[VALUE]</a:t>
                    </a:fld>
                    <a:r>
                      <a:rPr lang="en-US" baseline="0"/>
                      <a:t> </a:t>
                    </a:r>
                  </a:p>
                  <a:p>
                    <a:pPr>
                      <a:defRPr/>
                    </a:pPr>
                    <a:fld id="{E7D9792F-C395-4544-A414-ABCF7B332679}" type="PERCENTAGE">
                      <a:rPr lang="en-US" baseline="0"/>
                      <a:pPr>
                        <a:defRPr/>
                      </a:pPr>
                      <a:t>[PERCENTAGE]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3-7793-4778-BE84-C463299D13F1}"/>
                </c:ext>
              </c:extLst>
            </c:dLbl>
            <c:dLbl>
              <c:idx val="2"/>
              <c:layout>
                <c:manualLayout>
                  <c:x val="-0.19887005649717515"/>
                  <c:y val="-0.11476790198534118"/>
                </c:manualLayout>
              </c:layout>
              <c:tx>
                <c:rich>
                  <a:bodyPr/>
                  <a:lstStyle/>
                  <a:p>
                    <a:fld id="{0A21C40A-353B-4735-AC3B-296814583656}" type="VALUE">
                      <a:rPr lang="en-US"/>
                      <a:pPr/>
                      <a:t>[VALUE]</a:t>
                    </a:fld>
                    <a:endParaRPr lang="en-US"/>
                  </a:p>
                  <a:p>
                    <a:r>
                      <a:rPr lang="en-US" baseline="0"/>
                      <a:t> </a:t>
                    </a:r>
                    <a:fld id="{93C930AC-550D-4C90-B914-6A3ED7FFBA8C}" type="PERCENTAGE">
                      <a:rPr lang="en-US" baseline="0"/>
                      <a:pPr/>
                      <a:t>[PERCENTAGE]</a:t>
                    </a:fld>
                    <a:endParaRPr lang="en-US" baseline="0"/>
                  </a:p>
                </c:rich>
              </c:tx>
              <c:showLegendKey val="1"/>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7793-4778-BE84-C463299D13F1}"/>
                </c:ext>
              </c:extLst>
            </c:dLbl>
            <c:dLbl>
              <c:idx val="3"/>
              <c:layout>
                <c:manualLayout>
                  <c:x val="0.12203389830508475"/>
                  <c:y val="-0.17405796840612495"/>
                </c:manualLayout>
              </c:layout>
              <c:tx>
                <c:rich>
                  <a:bodyPr/>
                  <a:lstStyle/>
                  <a:p>
                    <a:fld id="{40B59A0B-7F57-4306-AE0F-F751BD914812}" type="VALUE">
                      <a:rPr lang="en-US"/>
                      <a:pPr/>
                      <a:t>[VALUE]</a:t>
                    </a:fld>
                    <a:endParaRPr lang="en-US"/>
                  </a:p>
                  <a:p>
                    <a:r>
                      <a:rPr lang="en-US" baseline="0"/>
                      <a:t> </a:t>
                    </a:r>
                    <a:fld id="{9B608D62-A725-4D02-A63F-11522D067859}" type="PERCENTAGE">
                      <a:rPr lang="en-US" baseline="0"/>
                      <a:pPr/>
                      <a:t>[PERCENTAGE]</a:t>
                    </a:fld>
                    <a:endParaRPr lang="en-US" baseline="0"/>
                  </a:p>
                </c:rich>
              </c:tx>
              <c:showLegendKey val="1"/>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7793-4778-BE84-C463299D13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Sheet6!$I$4:$I$8</c:f>
              <c:strCache>
                <c:ptCount val="4"/>
                <c:pt idx="0">
                  <c:v>Female</c:v>
                </c:pt>
                <c:pt idx="1">
                  <c:v>Male</c:v>
                </c:pt>
                <c:pt idx="2">
                  <c:v>Other</c:v>
                </c:pt>
                <c:pt idx="3">
                  <c:v>Unknown</c:v>
                </c:pt>
              </c:strCache>
            </c:strRef>
          </c:cat>
          <c:val>
            <c:numRef>
              <c:f>Sheet6!$J$4:$J$8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7793-4778-BE84-C463299D13F1}"/>
            </c:ext>
          </c:extLst>
        </c:ser>
        <c:dLbls>
          <c:showLegendKey val="0"/>
          <c:showVal val="0"/>
          <c:showCatName val="0"/>
          <c:showSerName val="0"/>
          <c:showPercent val="0"/>
          <c:showBubbleSize val="0"/>
          <c:showLeaderLines val="1"/>
        </c:dLbls>
        <c:firstSliceAng val="0"/>
        <c:holeSize val="43"/>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[Excel-workbook.xlsx]Sheet7!pvtDuration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505947"/>
            </a:solidFill>
          </a:ln>
          <a:effectLst/>
        </c:spPr>
        <c:marker>
          <c:symbol val="none"/>
        </c:marker>
      </c:pivotFmt>
      <c:pivotFmt>
        <c:idx val="1"/>
        <c:spPr>
          <a:solidFill>
            <a:schemeClr val="accent1"/>
          </a:solidFill>
          <a:ln>
            <a:solidFill>
              <a:srgbClr val="5059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rgbClr val="00B050"/>
            </a:solidFill>
            <a:ln>
              <a:solidFill>
                <a:schemeClr val="bg1"/>
              </a:solidFill>
            </a:ln>
            <a:effectLst/>
          </c:spPr>
          <c:invertIfNegative val="0"/>
          <c:cat>
            <c:strRef>
              <c:f>Sheet7!$A$4:$A$19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5C8-49CF-9C5B-FBC4ADF6D354}"/>
            </c:ext>
          </c:extLst>
        </c:ser>
        <c:dLbls>
          <c:showLegendKey val="0"/>
          <c:showVal val="0"/>
          <c:showCatName val="0"/>
          <c:showSerName val="0"/>
          <c:showPercent val="0"/>
          <c:showBubbleSize val="0"/>
        </c:dLbls>
        <c:gapWidth val="0"/>
        <c:overlap val="-27"/>
        <c:axId val="1589227712"/>
        <c:axId val="1589231072"/>
      </c:barChart>
      <c:catAx>
        <c:axId val="158922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31072"/>
        <c:crosses val="autoZero"/>
        <c:auto val="1"/>
        <c:lblAlgn val="ctr"/>
        <c:lblOffset val="100"/>
        <c:noMultiLvlLbl val="0"/>
      </c:catAx>
      <c:valAx>
        <c:axId val="158923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2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[Excel-workbook.xlsx]Sheet7!pvtRating</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t>How satisfied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Sheet7!$J$8:$J$9</c:f>
              <c:strCache>
                <c:ptCount val="1"/>
                <c:pt idx="0">
                  <c:v>1</c:v>
                </c:pt>
              </c:strCache>
            </c:strRef>
          </c:tx>
          <c:spPr>
            <a:solidFill>
              <a:schemeClr val="accent1"/>
            </a:solidFill>
            <a:ln>
              <a:noFill/>
            </a:ln>
            <a:effectLst/>
          </c:spPr>
          <c:invertIfNegative val="0"/>
          <c:cat>
            <c:strRef>
              <c:f>Sheet7!$I$10:$I$13</c:f>
              <c:strCache>
                <c:ptCount val="3"/>
                <c:pt idx="0">
                  <c:v>Jan</c:v>
                </c:pt>
                <c:pt idx="1">
                  <c:v>Feb</c:v>
                </c:pt>
                <c:pt idx="2">
                  <c:v>Mar</c:v>
                </c:pt>
              </c:strCache>
            </c:strRef>
          </c:cat>
          <c:val>
            <c:numRef>
              <c:f>Sheet7!$J$10:$J$13</c:f>
              <c:numCache>
                <c:formatCode>General</c:formatCode>
                <c:ptCount val="3"/>
                <c:pt idx="0">
                  <c:v>7</c:v>
                </c:pt>
                <c:pt idx="1">
                  <c:v>8</c:v>
                </c:pt>
                <c:pt idx="2">
                  <c:v>6</c:v>
                </c:pt>
              </c:numCache>
            </c:numRef>
          </c:val>
          <c:extLst>
            <c:ext xmlns:c16="http://schemas.microsoft.com/office/drawing/2014/chart" uri="{C3380CC4-5D6E-409C-BE32-E72D297353CC}">
              <c16:uniqueId val="{00000000-3D40-4AA3-86DE-FC74928686BA}"/>
            </c:ext>
          </c:extLst>
        </c:ser>
        <c:ser>
          <c:idx val="1"/>
          <c:order val="1"/>
          <c:tx>
            <c:strRef>
              <c:f>Sheet7!$K$8:$K$9</c:f>
              <c:strCache>
                <c:ptCount val="1"/>
                <c:pt idx="0">
                  <c:v>2</c:v>
                </c:pt>
              </c:strCache>
            </c:strRef>
          </c:tx>
          <c:spPr>
            <a:solidFill>
              <a:schemeClr val="accent2"/>
            </a:solidFill>
            <a:ln>
              <a:noFill/>
            </a:ln>
            <a:effectLst/>
          </c:spPr>
          <c:invertIfNegative val="0"/>
          <c:cat>
            <c:strRef>
              <c:f>Sheet7!$I$10:$I$13</c:f>
              <c:strCache>
                <c:ptCount val="3"/>
                <c:pt idx="0">
                  <c:v>Jan</c:v>
                </c:pt>
                <c:pt idx="1">
                  <c:v>Feb</c:v>
                </c:pt>
                <c:pt idx="2">
                  <c:v>Mar</c:v>
                </c:pt>
              </c:strCache>
            </c:strRef>
          </c:cat>
          <c:val>
            <c:numRef>
              <c:f>Sheet7!$K$10:$K$13</c:f>
              <c:numCache>
                <c:formatCode>General</c:formatCode>
                <c:ptCount val="3"/>
                <c:pt idx="0">
                  <c:v>37</c:v>
                </c:pt>
                <c:pt idx="1">
                  <c:v>51</c:v>
                </c:pt>
                <c:pt idx="2">
                  <c:v>39</c:v>
                </c:pt>
              </c:numCache>
            </c:numRef>
          </c:val>
          <c:extLst>
            <c:ext xmlns:c16="http://schemas.microsoft.com/office/drawing/2014/chart" uri="{C3380CC4-5D6E-409C-BE32-E72D297353CC}">
              <c16:uniqueId val="{00000001-3D40-4AA3-86DE-FC74928686BA}"/>
            </c:ext>
          </c:extLst>
        </c:ser>
        <c:ser>
          <c:idx val="2"/>
          <c:order val="2"/>
          <c:tx>
            <c:strRef>
              <c:f>Sheet7!$L$8:$L$9</c:f>
              <c:strCache>
                <c:ptCount val="1"/>
                <c:pt idx="0">
                  <c:v>3</c:v>
                </c:pt>
              </c:strCache>
            </c:strRef>
          </c:tx>
          <c:spPr>
            <a:solidFill>
              <a:schemeClr val="accent3"/>
            </a:solidFill>
            <a:ln>
              <a:noFill/>
            </a:ln>
            <a:effectLst/>
          </c:spPr>
          <c:invertIfNegative val="0"/>
          <c:cat>
            <c:strRef>
              <c:f>Sheet7!$I$10:$I$13</c:f>
              <c:strCache>
                <c:ptCount val="3"/>
                <c:pt idx="0">
                  <c:v>Jan</c:v>
                </c:pt>
                <c:pt idx="1">
                  <c:v>Feb</c:v>
                </c:pt>
                <c:pt idx="2">
                  <c:v>Mar</c:v>
                </c:pt>
              </c:strCache>
            </c:strRef>
          </c:cat>
          <c:val>
            <c:numRef>
              <c:f>Sheet7!$L$10:$L$13</c:f>
              <c:numCache>
                <c:formatCode>General</c:formatCode>
                <c:ptCount val="3"/>
                <c:pt idx="0">
                  <c:v>150</c:v>
                </c:pt>
                <c:pt idx="1">
                  <c:v>182</c:v>
                </c:pt>
                <c:pt idx="2">
                  <c:v>163</c:v>
                </c:pt>
              </c:numCache>
            </c:numRef>
          </c:val>
          <c:extLst>
            <c:ext xmlns:c16="http://schemas.microsoft.com/office/drawing/2014/chart" uri="{C3380CC4-5D6E-409C-BE32-E72D297353CC}">
              <c16:uniqueId val="{00000002-3D40-4AA3-86DE-FC74928686BA}"/>
            </c:ext>
          </c:extLst>
        </c:ser>
        <c:ser>
          <c:idx val="3"/>
          <c:order val="3"/>
          <c:tx>
            <c:strRef>
              <c:f>Sheet7!$M$8:$M$9</c:f>
              <c:strCache>
                <c:ptCount val="1"/>
                <c:pt idx="0">
                  <c:v>4</c:v>
                </c:pt>
              </c:strCache>
            </c:strRef>
          </c:tx>
          <c:spPr>
            <a:solidFill>
              <a:schemeClr val="accent4"/>
            </a:solidFill>
            <a:ln>
              <a:solidFill>
                <a:schemeClr val="bg1"/>
              </a:solidFill>
            </a:ln>
            <a:effectLst/>
          </c:spPr>
          <c:invertIfNegative val="0"/>
          <c:cat>
            <c:strRef>
              <c:f>Sheet7!$I$10:$I$13</c:f>
              <c:strCache>
                <c:ptCount val="3"/>
                <c:pt idx="0">
                  <c:v>Jan</c:v>
                </c:pt>
                <c:pt idx="1">
                  <c:v>Feb</c:v>
                </c:pt>
                <c:pt idx="2">
                  <c:v>Mar</c:v>
                </c:pt>
              </c:strCache>
            </c:strRef>
          </c:cat>
          <c:val>
            <c:numRef>
              <c:f>Sheet7!$M$10:$M$13</c:f>
              <c:numCache>
                <c:formatCode>General</c:formatCode>
                <c:ptCount val="3"/>
                <c:pt idx="0">
                  <c:v>312</c:v>
                </c:pt>
                <c:pt idx="1">
                  <c:v>373</c:v>
                </c:pt>
                <c:pt idx="2">
                  <c:v>351</c:v>
                </c:pt>
              </c:numCache>
            </c:numRef>
          </c:val>
          <c:extLst>
            <c:ext xmlns:c16="http://schemas.microsoft.com/office/drawing/2014/chart" uri="{C3380CC4-5D6E-409C-BE32-E72D297353CC}">
              <c16:uniqueId val="{00000014-3D40-4AA3-86DE-FC74928686BA}"/>
            </c:ext>
          </c:extLst>
        </c:ser>
        <c:ser>
          <c:idx val="4"/>
          <c:order val="4"/>
          <c:tx>
            <c:strRef>
              <c:f>Sheet7!$N$8:$N$9</c:f>
              <c:strCache>
                <c:ptCount val="1"/>
                <c:pt idx="0">
                  <c:v>5</c:v>
                </c:pt>
              </c:strCache>
            </c:strRef>
          </c:tx>
          <c:spPr>
            <a:solidFill>
              <a:schemeClr val="accent5"/>
            </a:solidFill>
            <a:ln>
              <a:noFill/>
            </a:ln>
            <a:effectLst/>
          </c:spPr>
          <c:invertIfNegative val="0"/>
          <c:cat>
            <c:strRef>
              <c:f>Sheet7!$I$10:$I$13</c:f>
              <c:strCache>
                <c:ptCount val="3"/>
                <c:pt idx="0">
                  <c:v>Jan</c:v>
                </c:pt>
                <c:pt idx="1">
                  <c:v>Feb</c:v>
                </c:pt>
                <c:pt idx="2">
                  <c:v>Mar</c:v>
                </c:pt>
              </c:strCache>
            </c:strRef>
          </c:cat>
          <c:val>
            <c:numRef>
              <c:f>Sheet7!$N$10:$N$13</c:f>
              <c:numCache>
                <c:formatCode>General</c:formatCode>
                <c:ptCount val="3"/>
                <c:pt idx="0">
                  <c:v>224</c:v>
                </c:pt>
                <c:pt idx="1">
                  <c:v>247</c:v>
                </c:pt>
                <c:pt idx="2">
                  <c:v>250</c:v>
                </c:pt>
              </c:numCache>
            </c:numRef>
          </c:val>
          <c:extLst>
            <c:ext xmlns:c16="http://schemas.microsoft.com/office/drawing/2014/chart" uri="{C3380CC4-5D6E-409C-BE32-E72D297353CC}">
              <c16:uniqueId val="{00000019-3D40-4AA3-86DE-FC74928686BA}"/>
            </c:ext>
          </c:extLst>
        </c:ser>
        <c:dLbls>
          <c:showLegendKey val="0"/>
          <c:showVal val="0"/>
          <c:showCatName val="0"/>
          <c:showSerName val="0"/>
          <c:showPercent val="0"/>
          <c:showBubbleSize val="0"/>
        </c:dLbls>
        <c:gapWidth val="150"/>
        <c:axId val="1589198912"/>
        <c:axId val="1589203232"/>
      </c:barChart>
      <c:catAx>
        <c:axId val="158919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03232"/>
        <c:crosses val="autoZero"/>
        <c:auto val="1"/>
        <c:lblAlgn val="ctr"/>
        <c:lblOffset val="100"/>
        <c:noMultiLvlLbl val="0"/>
      </c:catAx>
      <c:valAx>
        <c:axId val="158920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9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4BBFB600-BC8A-49F0-BE4E-99CE0D102C7A}">
          <cx:spPr>
            <a:ln>
              <a:solidFill>
                <a:schemeClr val="tx1"/>
              </a:solidFill>
            </a:ln>
          </cx:spPr>
          <cx:dataId val="0"/>
          <cx:layoutPr>
            <cx:geography cultureLanguage="en-US" cultureRegion="ZA" attribution="Powered by Bing">
              <cx:geoCache provider="{E9337A44-BEBE-4D9F-B70C-5C5E7DAFC167}">
                <cx:binary>3H1bc+M20vZfmZrrjw4OJAFsbbYqJCVZsuXjHDK5YWlsDc8ESfD867+m7clalDxLV0UXr5SkUjNS
Qy0+QKP76Ubj3w/tvx7i7ab40CZxqv710P7+0S/L7F+//aYe/G2yUWdJ8FBIJX+UZw8y+U3++BE8
bH97LDZNkHq/EYT13x78TVFu24//+TeM5m3lpXzYlIFMb6tt0d1tVRWX6hfvHXzrw+YxCVInUGUR
PJT494/2Jg5+yCINNh933yO/fzyvku8yfiw/2LJKy+7jh21aBmX3qcu2v3/cGYh8/PDb+Pv2dPsQ
g/pl9QjCOjpj3MS6TsyPH2KZei9/r2Gin2ETU8QJF0+vn996tUlA8D0qPSm0eXwstkrBb3v6/4ER
dn4IPJA/JjyIh+GBDCB4gMfvHz+nQbl9/HBfbsqt+vghUPLpiRWdLYdf+/n+6fH8tgvjf/49+gt4
YKO/eYX0+On+r7d2wfwfQP+RbB5l8c/DTPkZ1ZmJCNfHMMMEYIQIigQaXngX5ukKHQZ5JD8B4pHE
iQH8TcbyKPCajOlCR8YYXgzw6gzDUt4Fdqoih2HdkZ4A6s7nTwzS+036YV5s0odAPcifD/kfMM2U
gWlGiHH+YoDFGFtypsP+ZHAK7zzvCM+2eUejKbPtMMiHh5mA9mHBE4P9jxj2wcfNlMf7vi0ZcOdI
h23XpM8bL9vHnTAC5hw2+9ewv0Ojw4CPB5gA9VjkxEC2JXgXA8aqPAbS/AxhWNyUsmek+T7SmOrc
YBjeeQ31e/U6jPfBUSaAflDuxJD/I86CdHuE1c3PTEENExv6YcyxgB2bMcNg4Kq9xny6RofRHslP
wHkkcWIIQ5CQBireVOoIKLMzU0cMcKZPXjUCU70bXeEzhIgOK3+0st+n1WGkD4wxAe0DUieG+HpT
BOlRwBZMN5iBXjbsA2bcoJibTIzAnqzQYZx3xSdAvCtwYujaMq7UMXZpcUaQIBRM9htrmcBa5tQU
OkRfry32dI0O4zuSnwDwSOLEEL4L6m2hgsdjbMv0THBkUGo+YzzwIDsGG7MzyhgimI2CrXcpdRjn
/SEmQL0vdGJoX0NM7R0Haiawzrn5lgcGAZgBfJg5JsOma3QY55H8BJBHEieG8LAdZfIoNpud6Vwn
zODkeT3vLWdxJkydccLQsxu+a7nfo9lhrPdGmID2nsyJ4W1VZXmMBS3ODEwokJ9vLGiCzwxDNzEm
IxJ0skKHMd4VnwDwrsCJoXvvb9QxWBJIUUEsbFJO2Zv+F+UYcT7ksF77X9M1OozvSH4CwCOJE0MY
UpQb8MA2xwiY+RkWJsEEfKyn117AjM5MPrjh+gjkdyl1GOf9ISZAvS90YmgPLL61hYTqMRJWJrhY
ZLDaxvP2u5fbwGc6Iggy0yO436fVYbwPjDEB8ANSJ4f4QwFJjfQoiHOw4sB86rCIn157WQ1AXAz/
wEY+vEZb9f3mPbq9hfveGJNw35M6MdydbfzhSkKJyz/PjemQfzZ0qDAY8hzDaw92HdgVnUIya5TN
epdSh/HeH2IC3PtCJ4b2LP7gyALqTP55tKHMhBFhGuSFCBV7Zh2qTcQQfBvPPMtokb9LtcOY7w8x
AfN9oRPDfA6lV+kxADfPGMWmYWD8vLzHgA/ZLG7AP3jEjU7X6DDOI/kJII8kTgzhRbxNj5HbgNia
IAOL/fpAAh47x5DjGhnuyZocBnZXfAKuuwInBusyybZFsImPYKsJmGLCDZ3iJ38L0THjbZwZsLIN
DHWDBxyy92h2GOm9ESaAvSdzanin3XHMNEcEFjLUCD6/xlgP4bcwTag126VQlhP1eQPh19JT0H39
+RND9mJbHMM+G5CWeqI+XxJXB4juocYIUwKe92tybKo+h5HdkZ6A7M7nTwzZq229OUohICSeTcI4
RS+J57GFBl4bYcg662JEkkzX6DC6I/kJ+I4kTgzh9bZ4gGMF9j99+gJKPSkyhcnNl+h4r3IEQR4L
C4bZQVJkul6HcR7JT8B5JHFiOF/AkZ9jkNvmGZhfKNnV32A7IUoy4T3IT42N9FSFDuO7+3smwLsr
cGLoXm6iIzBcVJwBf4Uhj/xWqR85E9jAJmcjKz1Vn8PY7khPgHbn8yeGLFDzQ+axqPoj2GjzDKr7
sI6w+ew679loKP8iHE5qjHfh92l1GOUDY0zA+oDU6SEOyaki3RSPwVGILTj9CDV9mNOXVT32vaAe
jMB5KzEuB4NH/07F3gT+0DjTwD8keWIT4HKj1PYIARVUG+hQm8/FS+HQHi1CIBENb+tQzrsbUE3X
6DDiI/kJSI8kTgzhe5nK5Bj1vPxMp8IUDGq/nl7jpU2AGcOGqUMF2S7C0zU6jPBIfgLCI4lTQzjY
Fk+nq6p/9lA7uGSQX6JwhO45ajq0huFNBGHXc2Q9SkPdT9brDZx35afgvCtxYjiv5aN8+Oc9M8gt
6wIJiJtePDPwr3dqtsFUGzoBegTDEn/NfU1W6DC+u+IT4N0VODF0L6X68AdUasfbY4TO+hkyCKH8
Z+g89r4xPxuOUcER92drPlrK71TuMN6HBpmA+iGxE8N+vXmEesB/fmlTCLpMKA6DCu7nPXpMa8PS
RiYUE+l4dBxjukaHsR7JT4B5JHFiCN8HKgo6Wf3zGA+lQRS6F5Cf59zHtQPgh5lwgtIAoHfN93t0
Oozy3ggTcN6TOTGk19sUtunjRNPiDA+ZR8Zecs17y5lCFRgzKR3qw3Z26vcodRjr/d81Aex9oVND
G6Krf35NQwEYgZPrf+cz9sr9gOkmQJYJoEtHQE/U5w2MX0tPgff1508M2U9bf3OMuBmYESgFMcEd
e6PWC+w1lOdDxTZ+5k5Grth0vQ5jPJKfgPJI4sRwXkNvkm2x7Y6wis0zk0FDKYreYkjwmQkEiUnH
LWjeo9NhlPdGmIDznsyJIX0TV9Co8Ag4wyFIajIo131Z0bD5jgNoIDohwqaj6s3pGh1GeSQ/AeOR
xIkhfLXJjhFFwW4MNKcOeeU3mU7o7ggHJ/mohnOqPofR3ZGegO3O508M2Zt487A9TkdH8KKGUvrn
vo37HCcUB7GhuJP8XfL32rGertdhjEfyE1AeSZwYzkPezwm23jGc6qd8BDOgWndknyEJieFgLGQp
XwpLdn3qd+l0GOb9ISYgvS90gmCv5CavjtVOCJoJ6QSaOx7OT2Ew61BMJMTh7AXMxHco9zbu40Em
Ij8WOz3sh1qTeHMU3hMKAoHLhlKitwoC8RnUaGOo+Rx5ZLDm3qPWm6jvDTIN9T2x00P9w2UVqA/X
3wOVHcPIG2cEqFAo54VKouG1R5FB3QHUeEMTixFzMljbd6r2JvoHB5o2Aw6KnuAsWENr8WPg/9Sx
hsHSf9nK92IxYFcIrHyhj3iVAf/JSr2N/O4QEzHfFTo9tMGsWZvi+3FsvT60bx66Ar7Bpw1VwYID
owat5Z5ee97d+9R7E/sDw0zD/4Dgqc0BGW+ORpRD8DaQbIfNPVSV6gLqU/YaYEzW6A28d+WnAL0r
cWoID02pjhGgQ86LEgItbV6W9zh4g9M7JrRAAT9+VBd+P1mjNxDelZ+C8K7EiSH8Cbq+wm0p/zx/
OlyeAgc7IFh7MdAH9uyBXQMDPtqz36HSYYzHA0wAeSxyaihXEJId43wHHN6haEhpvRBtY8d8SGmK
ISgzRmUKnyZr9AbGu/JTIN6VODmEocNvcpSm7Ay6v0I5P9jiN3ZjdAblpBhzsofxdJ3eQnk0wiSc
RzInhvQXYKqro/Ar0G0I6n4peuvGhafFDKS5iWC7fs2Xv0OlwziPB5gA81jkxFD+Vn0/RtJrqDXC
0LYCakyeXnudBKEbKJzF45C+3oV4qj6H8d2RngDuzuf/DyD7axV3fvBwydkfP5/tgZuQ3nlHHZyS
hiJu04Q4+bB1HgJlDMc5APdDgTJ0avz7Zr3nJX1Ip8Oovpbd+Y3PP/HXD+U418+9fTXd3xf9OZty
M3u6IvDV7XS/fvfp58PdhiPRFxt46IG9vLV8/P2jAZzVK1CHMXaM5+un+IzAf6W20DX2948axnDi
bijzRtAJzoCOUTBgs31+C64iBC8aIbhSg8MsGAiwFNrV+XB9IUTJeCg3QwP00GQOrLaS1fAWJWfQ
zp1Dj2foDAvXbAj89/2NNzLuPJn+/UBe/vwhrZIbGaSl+v0jhu/Inj/2pCoyBJQ1wSFeEwJ2CrkZ
oN+zh83dcD4bPv3/yp7KLK+q9iptqJjVjetnlqQhi+yINfWtqRndKmzrNJohFJXfSqnXnyNdtbml
RJp/ffX0DmkDgcVYGzh7CGfKoS8AXBU1hBevtdHTLouEX9VXJE/xlRf1qWtVTJq+3dalFFbd6NU3
VmdaYBUJL3M7D4vIs9xeMd2GvHL6KMoSXcMYfuWQOMafe0PjeNGZhrvFnYbb+a81JnB0ak9jKCqC
c3XCYHCpJBppHDAfsO3KK9oanueYbR9/roEAofOSddKw6q7FoRMwl1s9M7vA6iJEF0lddNgpalk+
+q1S2A60zHAUXM5ZW2Xio9pihRF5M0+G/k1UiVWihK8c2BnEF+XnF1HcGO0sUJq5Dgq/Tha//lX7
MECGHUEbJWhfCInYpx/9alKwTvMaLYvVVVq64ov0OCaWHhGYGllatTdNW4j7zMXxn7/+2mGuvZ6L
cNYBboRiFLrhwpUjhA5qvfpaA7WenikvvUp5j69w5FdXqSrsgLv+l19/EyyfvW8S0IeVwXFH2FD5
aJ5lqd71eeHLK54hfZM3sogXbsk7YkWZP0N5Ffc2RR2XdkiNJvlfk2aYFLs/FCYK9C3Soesv3EU6
/nogzwLfS5PgiuWRsUnCythE8aCD0SdqZhZSWh0C6BdNnDfEyiPJtmUs1LIRnX7ZmrRANm1CGdkh
S5PPtMgIdXzeddtMqzMHaX3CbENIvTg3qNlX1q+f3tDjbqw/G8wGELhwXxs0X9oFCpmVkRqGq61x
5SaboCiVZ2EtKlPdol2XeqvGD6LvHhfZZdvn/tyUehvYBNfsR8n6Xtqd7zFbl2G9DQrKHmsj89nq
10rqxh7IVKcwiQYOA9ILBgO36PV0MgseoMIv6TrU88wV3CmF3y/asqViXtZVZRdtjm7rpDMqy/d9
Zhc4XShSZItYz4gdxXlyl8VG0losbryvTZjIZafK0sqMPPtsqog7bp66diXDMLCCkoaN5YYqvWoy
TV3nWk9nnodFaGm9myY2qf3k3DDL+I6E3o3XpbS14orlV6WbfypJolHHrAk8yKAjYBv0qu8t1PDw
MvYN/s1Flb7yTY4ve6+thd0gX0/g2pQuWGq86BKr6Xjv4MbQnD5sHzKVl/cV0phvNUnJ5q7Kq6Xu
EvIp93ETLVym4cDq/cj9DknboraCNNf+qhKWOFmmyDKSabbEuYgfgzozYd3TJLoPhNsyq851b1W4
RWV38BwWWCfiOm+SdqY3RT7HuMX1LIar3zy7bjye2zXx3VmiaOFUmbj2Xc1DDsayPIethjR2ikLT
4iWL/2wT5F+QQmT3Bi2NRSVCjcyVmfQbbspiplAb9vM64t5ca1u0ISpufigvywy7JyWqrNQjtTdv
y1DC4miaWefVFZ8X0vWduKTJeQofteD2hELCg05qZoUqDDWbuQ2zmDTa3tLL2LVpqaXJojCjmadX
HbptKNbhvuMCxVYIM6mc07IRatFS1l6aUd/H7m3V5GWSWF0Qd2nx6Ls+If031WgtS3xLFGDK5QPp
krCkBbTSr6oMXZVRmUTtSgR5v6hFVbrLpAiCzApJLO8R0+gy7Cit7AowcK0uR6IFuBLOndR1YT8s
46jJZ2bUeMgu4hK7136OTCbPo441vtO1sSgvTVVSmFGNK7Fq7Ar2wrmp+aF7XcPSMT075xmHCUcj
lczTOCiEFeewebmztg5MW3PBczWszkWpDjcJukli+6Jq3HkTsziZKRe8grmReklv894Ai5mSSK/s
xC+02KpV56kbFWhJMpNewH9oVc0C5CBJykWg84pfGZrruauUspIZoZ22Ku+7cwWnZgp/lnk+S2au
qvt8LgqVBvMuNpPuHCmVZLZBujiwWWt08aII8kCzAVbyVcuSHjtwF06UOPAf0q7jEGkKHnmafg2T
RCRLWogynkV+ad71VUnpPNQkwRd+4yuWWswnfrlwizpL72EzpqvQ60k0rzLQYCbL2OtnHLe9sHnY
Zc064R1MbQ2WSuG4GFerghpG7Hgu9SqHpTXAGTAF/knah7TfxhEc33Y4KJA4tEv8fIlRoJ97AYtM
m0RRTp1ABq7TV25kWFpTZOImdJtQt2mQh72VZGGvXSA31uc4cz0D1BUsm+HO7+XSD3DjzSKh+401
fM7CIhApTB+P5nbbBFpvlW2g/VVAq7pOswJYR+QK92nQBxavdY1+6uKGVFdmJjrppCIv10aVwpbk
KRaBgEgoPC038HH6rcdx6q/yLonbuWqMPrjApVd+0kNibIzWTVyLY5i88yptGZ0psw9A+QqHiRPT
PFI2b9xZgIP8W9w04FmEXljfK8NsvmeFT89r1njujEcGIlbKXRjHiGXYztOixld9m1H9VpUG/oRL
DT7RmJridok71s5qkoTBedES0ixT5ilyHWhMfElRPkzOMMzVgsXKVzdtp5fcRnkD2PhNCopJBUb3
AnYw8YVyBLM7AStZONDDqpXLUgmX3IRFFUV3hKdCX7Z62FTrsi0H59Pv2hsj0sx2JpsEvlrKvq+t
liRlv0ARG378oHoD9gn0yhJ8pRsp/IoqN+BR+ZGMeltENSydLPai4DYtGCz5ogKvwIP3wKaSMvWv
c6x3RWrRzEcAd1O01TrR/ExZAarydt5C0TuddXVOBqMBi8mGXwQGpBV48JPLNPniQn/jFa+DgFvc
NyKYF51nbpqUghptEXZ3tGyRuvDAzQ0vZJZG4T2H3WKhUoSvcuHl36C3vZlbvu4HZCW5J6oL15de
7XQFyxtwcDu6yAg8VhuxvHuI4si4aSuF5HmOujr62piJp84TV0t+dL0YbEiQx74DcQCns4B0vppn
ZiK+ashN5kmTebnFdDBzXdH4d4Es1YVIotBwDFIQD8wedOi2ap+IL0Wo1d4sJiksk15zqVjqqcT5
NgGD3K2g2yusjWaw2LPQ0OCJtnVfz2CTafILXFTEtF0RlzXstLRG4Hrn4V+FqMUnrQM3fdWLssCP
pUo7ZSUYs3oZNASGahPs97beeKa3zACWxtYiYc57Wdfluu1YfB/WKrc4U+d60tbGed+YAE6EsOoX
WRxJuU7NVr/USqTLmZ+nSX3hdU3m29xQif8JPBH1iEQKZgRMp6qtyFeNskRT8xx2gS6/j70cB39i
2VNeWz14YN3nrKSagMGUW8x8pkXeSnOz5rvvIa22Y6bMaBkIhG9bpbn9oqhyFcyCvoJJGpAypDdt
FPfGVWJmcWzlWY3MtY59vbU78G7UrPEzQK3haeBZRc8SsB1KxTPc0rZw6pjwYtHzHGZ/pLceczq3
Q8p2M2XmXxujw59Cv4C5Bjud+AJzPVE3qUgxGFiSiXDOE99srLb6RnjVcGxFUc0+GyTNG6cxvFJf
627M67vcVaKAzR1m9CwLKKAJgUPXXga0jOQlKzKf3pAWxebSbaWA39W2mreOCi1rnES5YDPAG6vK
dRy7oH8hIm+ufB75TtMitOxyHdZ9Z5ossHTXZ+snr/SFu7h5dvKfA/AHmXVF4Pnl6I//+SQT+Pff
g8zfn3miKf77p3XwUEglf5S//NRiK4eLsdX4Qzsjw7e/aDfQFzt/2KNS3iBL7raqiss33nybSfm7
9n5gGqBSnxrIgJTwb68H2qFTBurwJ722K/OTTBk6QyKhAy8C5AikocHl/5tMgbQz3HIHJy2BHQE6
A779hUyBthlwFBcusoRr7uAjbDha/ZNM4dDDDNohAadKoGpBp/w9ZAqUOIwCI/gOyjC0WIGCJ7gL
F8PPfR1yxGVRola26Bqc0D9dkRoLM6LaBdGqzIKm09mtIRt5XqW6uGojV82lDLBdKn1VSCO1mhRo
lQBCmcuigKBN51FtqcZc1E11H/M2Wxe9ZsOa1K2SP+A6Qg5JmnNqVuAzmM1SuHwesAw5WeAtKuXG
Viq6xGaN/rlJi3M98NNPuedVNvjMD2bDL2SVfS6wntl6QgPL9PKHuBMR7IV6auVNc95mbWt7vfTT
W+hKssChrt9o1LxwzUbMyga5dtJorqOBCbXjOL/p3HLDKu/BTXgzJ12KZl6X5UvYMRMrl9pdGfP4
ZjCmVmL64GvSwrDcjjHHDUzd9rQ+ssCs3fitXswKQR9VYN76Rn7Fy8C3Mj/6MyD0E9BAmaOFZJtF
QIG4vfe5qNNZkKtlBb6tBR7guZuLR2CrUiv0/fNItLcQY6yVSb4lqXcR9uITDjNmGX0prYKgTxkL
idUDCKWflXbsuqlNSmPTVaq1FVN/8qaKLJUF2MoN02l0dMNjHTu+G9wGosaWljS8WXUdKuwuzX6g
IlshM73i4BfVnfSWNFR3lSkKqzWA2OmLRNnMhGDCjDWLZbHD+qi1ck2rcgCMsMICD1FF51wWySxI
Fb8WJOsWccqJVZvhEqe5WHuq2JIcNivRM+9WqyJk9YHxIEgdXeUd+RFLozOtwpTI8UMirmK/8Ow0
LSILfEvPKY0kAo8/zVZeJK/9pMhsFPPrRpOlDYQ1srxO/kginVoKy1VVkKsM/AG7on1hlYFeWLiS
qYUNbQHcoG7XuPrLzPwvURRBVF0JOyd+6vTEh+fmwcON01DCTtF/YUFnYVd+Tzx3UcEV4Ss91W4x
z37ofjer/HYBngu308gsbFQWdGnG+RI8glVbGjPdo9cdjq51WrW2iIVpAUXyFTXuZyPR1HkZCWn7
GvtclOAaK0wu3YwoS+NVZeV5EloVQndJV65QEyzyKLwLAm9mVvG3BhXfDVFIG0dYOZ2qr3gRVU5h
NoUlUbo2ODxcQ9dWdUz1hTm4JpXoIif12CXK8QMnPQXqrvuaUVJZNc7mmeqpJcs+hzCsXkZuj+w6
RVdNDPswPOuZSTPXTs0gtyTJ/qRpthYSaB8u56FPlcWJ+1CiZg5+SGJpcQN+GpPSjsLqou3Aa+tE
HNlpZzyWjbFuctJaCbAEuVsQO8gSIG4JWYS++ouH+UWSpJ9x1H/BmroF/WKr1yEGbsS6aNPYAYUd
r68bR+BozfO2taoe3SlB/+pKkV17uh/bQau1K/AstKVMmsKBqOayjvJ7vdK2fhbdcTM17CzRE27p
1FVLl8EofeEb5wnTZ4WbV05ItXiZJOQ2RCS1oDDQtHNwgSxNAsucSJjEHY9rm3jsOpQqBvVk7Lh+
HFmt196GUMFguQZ6AE4wtI+yG//f22eHfqtv77OvGrjsb7dPrVp/5i6G677hkronHo0iHUb9ud1C
fxqoK4A2+4wCQQwE8H+3W/0MygkI9FwXsCugp4zHz+126M3PMZy1NuAAH4fmoe/Zbg+wkAgB6Q73
18IRIoZGqYsQHGvepCK8qpJZbzAIxBb6/8pIQK36aEsHRho8FwIXXcPRFTiQNCKlczeIY6M3wqtS
hkHsSI7SgdPpuO1SEs1CCgy1hFDrknkcLGTmh3bcuxfgDId3KPNv44AviOEHlw1ClYOwZtiYV7EV
4wDZyPOXDUmWVe2vg1qcZxW+RH1zC9HoOu/lRVvQ66DwViiMOiupPc8KUS7mrIt9y62MDpx28Yhb
iPmB74A3S9hJ4rj6ERhtYanUNCOrcCshwOp3Vss0YUE6wjVXDTDEC7dpmVNqqrNCQXxwvHuZWxAC
A6FE9C8QRDEIlw36F1CTYEeBsl8EKPLNmV/lWTyTXR59lRJ3TgcGsjv3RObC5kTTEmIyyq/MTnXt
glVRaLUm932rpBnlX3qSm06cEyButN40Flg2QBHbGbRBYrldGUnZuRZqDe2a50Rbw/iZowJpRVpb
XUgtXXCpBw64PLBN+iR2CsaDcxrr0apqc5PfwPcp+pfReUxdkE7W0vE6eichndLe+LDvW7nXiQtR
mGxVe5X3bbiq7WvNfM/icdff62Va6UsuI6OwIZ/X9Ofcr13TRo0Sn6Xk1DJTPZtpFdIdkrW+HVdR
Y4NX1S1rYtRXoqrYrIRnfplCUmqjfA9sdu3BY4fdW+RA1pIEz6CdSGB5cd3c9XW1ClEXz4TE4s7r
DGyVoR84vBP+XGYJsttId2qJHZYHX3li1JcAXe2YedDPijIljiImstq4DVZA9PszVnb9oixjbKfC
1a+UX5Ma6EO1MGl93ugpc/yWqFsvC/GMa8k6SON1DfTWHIKyW10aS+5XoeOa8TlkFCPHo+hGiea+
hLD3s1e3/IdEraXCyDGb1vwhg8oxEuVEbo4/Ia2ae2Y514iMZkJL5hFXVtgCw6jM7FGpEi7lg3P/
YfclDzWnoPVKtMkcDAgE+f1Cb9G647VDRXmODXIJe4jjFfV3ZFTrPNHmcYNntMiBF+ke0qq3PPkA
nDh2GjOmixbYHicy6m+GGXyPe1OfAT2vViUw0ECk9ZckIUvqkbWZVQ54c98g6wNbNo2dlLOZW5tz
j/DzCvXfWlfNvMSFnAvKLep6mYWB/ViGBiTxgGhzIAC4gd94Z1RV6rRB7zlB4Spbr1Gw9nUzsn2X
3JZxqmBjLi880sJkLvEizltkRS6DWZZ0FwIWEZLMIqJwWs4veUYv9VZ+1frSjgx2XxHvNs2zSwZ/
rom4TKr61hfBKibZjLhhAGmF1iJdhMHBbTK7gnyR7RXoKtKiv2SE/8qiZAXtjy5kzFdhhW/7BjvA
jTgyjteGHtp5nHcXPWPnkEf1gQrqHvKInVfCcESRBZYPO3jXNysu+26Z92m6Krl8TDqXWZoPXkPn
xaljtDRa5CJbuAprd32n5f8jSYaHs/jjLNOQJYNacY7gXT6y736HE9WZcXAl84jM6lh0M1aD45Uk
dXxZJrRxWO3OPekncLtKv8VZrm7zPEKfeM9jS7btXVWEl6h1nUiwr6gtF7lv/gBWy4McR1HMvNBF
ltmhuexhTsduYEvXUHYTcsgE5DVxGC/Paym/F6yv7CBUXwjz81mNS2pjFElwa21wzlS7xFnErNJN
IUQqFkSvb2IiFyphj12c3FcsXAGje9GreJVX5JJl8pIrIhZlA0yr6oJz0vqGrerANl1Nzn09XHgG
Yo5C6k7vKmxnvrlCvoB1TT106Za4tMKi/RwGtQ75DAgbSEeu9aBP7dw0O7sNonWd9Ve+CpdRYyyM
pgycADxpN42EVfEiAIcRkihlODO87BJ4GEg3p0CWxs0FFCqew75WQGAie9jXIEQNi+sojO/gdJ9n
1WkdO2aqBTbNwCsripuAqtpJepFaRRF+1js9t7w22AjELiBzFFgtTFBe9HOgtx+jHC1wlhiWjr+F
Seck1LRNoZ83YIeogmaLYvCoIUbyhPboYrO3gEy0TIjDrChO8FLLBltWXgbM/JOgeI6AVLS4Fn3r
EoLtUHXRTPe9a9ob2El9AgROFvJzIIWrL5LS5iII8mIdA0m7fOU9vXA6r4soxjUA4CIMd25zBk0H
oDJjaA70OuoP+wIy4jWkc90qcGi4KiAO+PU3DAnV/yaMYUjKoNqaQssK6NELJbmjVCbkcFODC8+7
ik1IJ5rXQRWcB9ld0YQwE8BHNyFLEs5+/Z1QCvw/vnX43a/y8VUWlZlONW2NuvT/s3deO3bj2tZ+
Im6IoqhweRRWrlyudCOUkygqkAqkwtOfofZ2H9udsIH/5gf2TQMNu7xqrSVxzjnGN6Yetm2GMczd
B1TFl8JD7yGiViZjyJ/9nB2taavEwnzDXTGpxHFLlbT9+qJIcClHz0mgaO7qaKIfQ+EFaePID37Y
TGlRLeeg9l79HG4YrSFm4GpqVWbWoM1CTbqUahsmQbssRwM74aNq5bjz1gaCcVl+qnGtZjC+RIoT
eEnH0MesZaIH49XrHufhB1NY99gU7FYs42cZRAcUpceh73f+pqW6XB6YI0gmHXQo9dS2+2U1TtI1
vpf2ExdxUM732zDblqVNOlb4MY+WMy76r90Aax6ywLH3yGGZvMd5lc+eU534qPoYWEoRlzmrEzmW
LS5ifqxWeXYnSLdL7qasxljD8gqnrPNsnQV/WTZXIUbgtp8ym6+4gp2sGguYbkynSmLA0qsM077O
r3QXJgUPDlT58N6K+UH4Eg2cJo9mrHTM2OgkazDuiS6bbVR/h7Zz1TvNXaebpIdtgfn4ZLklseXs
ELQhTkRKP7SLOMz5PKe2N9faR42Umh/73vsSdo5JcvgGHff2hfYuwVR/m8UgcoK++pObaFPh/vYa
3xrxH662yUOL4a642uSlvS2uya47d0/Tfj3yg38JUXqST+4U8xO9at+m899f65tw+CcvDumQAtOC
Qrj9cj+8ONUibKvQI1c65XF7cRO9M3NMz+Q52DmZ8+GGJJdnm8khtu/4T329XJz4VO7ya6bj5h9+
m58L37e7nTloL0O2PbqK/8IULc7UeJRKcS2cW81qGDzPvT38/Tv++cz642v8QsBAhTJEiFqguH4p
+kO03P39v/+n7wHb0IIAquom1f78gTazvxIH1uy1IrcdtK+eo+f8dkL9vxbT//8b37elJ389vv/+
hO4/Du/bD/6ulWOV6MaN+j5YLvwH3/D34R1bRrFkARUFK4YdyrdtV9+1cjzOeHuQMZ7eA3fwm4z+
fXgP/hUiFeRBegf3gwdH/EfDO4rXT7ccvICQYcuxj1dygIjgWUA/XyFtEVpb21DdOE5dHDQUQVGQ
MO5RqA36vGQy7nCZDTop5qxsH83mtpUeuKy2+dh7LlonqH71IngWsX5JislnsfQEhkjhrbEkk5uK
MYTE2vlrSqa5ue2K6FnwtU9sz1gyO+sZ9vKl5x60VjS/nIh9t+jnPCxUsnbh1dovYxaoyh5gj5yK
RmI89vhpDXGqFl5w5bveh4JrA0k0vIumAJoghqjR6d/B/bZw8Yon23AdT6C9wDcENqnseuW3wfOc
wwZHwX+JavXsz/YcVfQyBfUj4c3VGKJnguP5oe3RoBIKciWfzsHq3bet3NGCvLoldPmu2I1OFyRD
ry86UC9u6F8zAaFT8HlvZ/gJuCjeobkPcTtDLyDBmJX+KmI615D++tkH2tEtWRi2JrPWLoCXmhu0
MrDdC3ZQWwM1TwaypTVxgRliz6txJ/3ufq6sTHhF24S46y3L/U/uqB8rs+xg2zUxK9rb2fN3Cxrz
Ei54nAfDrW+CD6LLi0x7y4tfDgCmJq5TsM9VUrel2rFyGdLWDfZjv95BnQx2VNSnmdZfxNrARR3d
D77oKVxfN098Fd1IG7jXdR4cMGE+dNeeOPpGbsTU2V+kTJCXgBtiFVp5OJzjKrORjRaOZ/gifL+I
TddCmFblnjZtG1eN+lQFvkrluMjY7eiuDuFfOkW2jMuhXKyMm0Z+7Hv2BXvHvkzKKQ5F511v3u9s
Owz4jm0yudTeE+MwZsAOunGwjRRtd2q4f6w5BVAhdn1YVDsK1iZb5tmF6Okv+9BoTIMtN2M2WXJX
6ulztFZTn3CnlInTd/u184Y4GLuTRzo36Tx9iHwlIB/nEoxEEKaQ6g4uKdq96ud3UCCPpaNSOzSZ
g1agwKWL6yh6VsyyRHSjfeg82mVlVMxZFZgFFwLwN7oamo21ljHj9X1kQbO6OYvBKh7byL/kdoBx
U/UyrQuJ+yKoTRZKTXesU26Mp4E5O1Kj33FgJ58Xt73LifjEism7G/PmPuw9yBRge456wHsR4wS7
fDXZ4Kk6Lpz1RincKbLB7MmEvs0DfhGNAy/LkV7sS3yArf82jvQ0qLvS8zTGjfA2DJv8OPvqes7r
KbbjdIpc9dkbasg8i3yHKq2zoBqqlMykSvWK62PiHVjWDh6IWMmeLYlc39yCfbb9RcrjoKasVN2S
dDkuA9vk78vGcrhLd5WvmLdbRh5m7R1aKghUFfFEiupLZXDLuK3Cta35boi6Y0Ma+H2AE+GJ149g
BL9GVk1JMeO6Y3Ww91RbZB50r5jodYxt0bUX4s78irbNIymb7nq2YG5AxcksiNY8nVdLEpPnv835
CsyKhWhThTGgJTTcUfkgelzN3Cvosa+lyLwc3zhIHPCsy3qncu3HdGU0Hhq7Jnoh96zrIUbilWKx
dnlMrA8Sr6rynV1Gmapu9A4C35f1xKkCuBYb1t01HjvXanhwcucx56VKqWtPecjdjK3rXMaDwgh4
o2fav1QRHyZoMK0vk8HIszFWrsloWePuyilv006WwysmGuFdfiuF/+0Jtn75r3uCq3eEgf/YD2w/
9Hs/4P4LK3gg56OjDDx3+6Pf+wGGRz0hCOgj7wCsd9th+3/9AHO3R4BhfcsGuDNU6R/6gW1tB1T+
7aEiEMj/EzEf3cWv/QAsfXQrWwZhA3Z/TSLgFOO+T3ASsEY8dayGFYtxM251hxlwbXZh5+/ppI58
IRg0o6dGYWhyzKzSJvIfZehdMTUeGymzzoY5YPmgaaOshEL2oVYRzZTr3BWk7Y/jVBZR2taSfARs
iXukpcyKc5DbZk546+SxXwfyMIxQ2hojzZ3TapYq4z9M1TZv2eUm4jWN55alWsC07mb1uCzkCR7+
B6ZAEzvuinOwn44+WW5EGZ7wuOkUdNOnHsYgr9opLqRzr6V7G4XkybVDi1YFt2c+bspNX+FWb78u
/Ypa7tJd7gVF6vaYeLk738A+f+9qOafcMpMuSnwGfLumowMZMprDrHDGKdFK0B3qWZDrmHjLcZoV
ScRUnKkJblhVJIaK82qCxKE4+G0Dsh838xng47NwolfiBfBra3ZXwZeEV/xUlYCRe7l+GPtpZw3V
1zSfskarr65DMS6W95HRFrp/c9FFc6TN8lQN5kyUhR3Ol9QhS5C44FnhUlsbE7DiOAirQzcQnTAB
1nRRbpq7mDKBgoc37qKXZIXDkOBQr2OBw3OMUHmUhHDeOAsBHwhqrp01TXwn+CSWAiApXfZjLp14
mKF+h+4x8tnBmP4mr/sWOH+5XImu73QMX8Q0+5HXZRXzGlDo2CfDwMHzVehelOsmorU7z8k/VkxC
eppJ7Jk5le38XviqivFvgryOIKjOUzwJ68eCkXenL2TS25HFtIJAOERflqoKr2Cd2Sx0BrNzjfAv
9cQOWrb9gxggz7tjo87ULeAQBJFM194chJ3XZPBrL6ttkIZNQ/fQ20b0I51/bWAmBcQ7km54gsl2
cIz7NNmRJoUYnHQcXIp51JUX3SoNFc2nmeDNGudWEjSBG0nqkXy/UOpc65m5d6WrgkNZ2X2ElmKZ
ilNTDWABO/cdMwBPq3Ypb7AqYEoi7u2WEM73OEwQwss64VP7cRnUzrXliypAlEYjiGmB71PWS33j
eT7Iq38KpvwyVXLH8XDagKwBxvObk/jzzKDZbKuaRPSmbpBC+sx5+o9i3p+8BIYRH88exhmJiMgv
g+uii3mQ4FFuquGjqW4X/dhG/61RG961bcL/uxr1PzVgtc/vv1apbz/2e5XCw2+258aGqARQDgJ8
Pb9XKRSwAPqqw1CSGHXxR9+rFHLu2CoDI9jztsF0+6P/q1JYKscQjIVEi2Lluv9JlQLN+YcqhTye
D8M7QKVCYfxlag3noosMPLIbWY76FNaRd9W38zls6y7hpn/ymwbNzVgdWhXU6xehho7cmQUtdreW
Cejx+i4Suo3HarkbC++khkbtuhrzEF2hZgcVJfuyhrDvabErKgt/uNtaeJ17YMGGQiSR7eDWARwy
D0uhXyOxKEjCAVw0AN4yAfTinexM1hPX7SzyZAmX8mTqKl3cnBxG0n8tonZF4szZTgKF7AutomMN
ofRJYx/E2S19wCCgUva0fNAG3XgG08rZaRqWOOqJA9tlO/sYsJe6LtH6+nAGehqdq6Afs66gCR/d
ccdnfR1ysVUFFe1svc4xyUcQ46KdDv00XNNhiJKx7V77qbgsdMqEs6Tu4F45XnGe1hGWscRwXYJ0
jWUYQhAYTAZCyo2LnGAAAejzNZ+U/7asEkZQxzsByIegQouBHqLe3IuKPYTSaQ0gIkHGuxLs1IF3
OmnhBB06vgztgz86kKeEyQMbsyD39oxOmPZ4zr9WuZmO20NE9hC3q3Rt2ttFDte+p08tlLPOcc/h
SHZqmE6k8VO1giTt2thBq8tL/Xlq3ftyjF7/2+D+xoZuMOVfN7j/U+uy/fLr2YGCgJ/6fnYgLw1G
A5qp40Kjwhnxw9kBMSxA/pbzb4HanzrcCNEF5nBYjP8GR7+fHSGeb4zn22JFLYuwnw4S2nd29d+C
9t9Gbf8QSMM6aheoCkNKC78nlOafq1fRB5OULKxvCO1ei3IEMW/qj3ThxxoiBIBAFP7eZAFvYscG
u5UVl2jprqcQaEc+NZgrSxBhpiBJHxh3B5Nw5yj2MJXWzcJAmcQWkKXHPPUJyn9Jx6cydHVS0/oC
jLJOLOkPdTW8N/4M/YN6n3O3HBJNmgJuwnyeQ/u5MrRLNp4jxSmc+YvlMV3aNXMMAWvR8DkFnD0m
gYlM4i2On4yqXXatWm7dBdXYLeqzmTmMomJ8YYjapaDmPyvHPwHB1Wk3t2hL7FDFcGRiLgC5tkF0
u0b0GY4H+JUQHZkQZIrrYMT/+rJM1kK70F6KHHIKPPxxtwQqjztw67E7zU+rKK7GoD3rXJ8F3lOs
lrKPG9e9n8oqBTHTZFXrXuXUfcyXesQ5ZBqIFQw528EiyldBcgT/dGjYUiZ5qJ9D3hP0lEthioTb
riweRlfqN4RFnpbVm85jONxoNg77mqIzlV3/NhdIBLTVvtGTj0aRQ3KCs4uRGRiByMMrUbhPrBtY
bMrphuDxAxkwyTV1+VpkawRTpegjsifK3DMiPvM6V3sEUxKKuMlZ+e/j/I5Mzs7T/vuwMLU3vbOv
zVBkvZ4a9RRR0T7UTq2rL2Wxfp5mcb8yB8fjb6JS1YswfO+pvM5xfR8d0D2HeXTVjdvn0Y3X5MNp
ifLEi3CyToF/GHvoHo5wykR40XLN5AoOvgT5t0ek73lq4bmXjbhis/oCzN89OKqIwGQA8Fnj/55z
38453PZ/fc4hjDb+2TGHH/p+zG0QPNoZZMgdhkVsPiDzH1okB5JpgA3q37i831uk7Skn2B2CCRua
O3Yz+jgBvx9z26InHqCv4Rz0Ovj6/+SYg4fwhxZpM8Sxn2BzC9Dn/wLBWz0PSAUKdjPM8H1XILAT
sICUSsZwpXQ7tXGyPYDZ4DdytvA+9Sy8jBtTyze6Vs6owmMvziNk1rgFgkuk08fhCnhnBp479/6Q
ehuxq5T5uETtqwDKizTafQV0ogXiCzzxvtMQMmW3mDhCS4T+xL20DXJ1BRDhYWOF66gZEcnJP6zA
iDnyhjGCW3Piz80NB2pMJz+LOnUKAE5UfGXH1eZ9Yio3TCxcWuwmyNwNXNbi3kwFP7UwMBAI+RgC
cY6AOs9o7OIK4FEMTLCKfa9p0437RT7AJAFg6QnQdLXR06ISB3fjqfUA+LsRCImOdmwB87LrqulO
9cZhT33/tbMCqsPGaK+AtcuN2p6K7kZyq09zMyJHU+ZFGjQYUauN946cIr8efmPAI7P6ceetX8ON
ELde8Gkt8eHqvBF3LlI6sQBQLtAKXUlVH3lEkJLZqHOx8ecDBjnovRO+NXgrcV+MRVI1mH1lARbS
SurvS4uS4vcIOXlgse6cgtH9qmUB3K6s46ZlED6nScVlw4oMvBtsdzbXGSnLjVXe0vYrsuP+DBfG
UQoRsZymdF5w0nlDiVFc5ztvYnXWN6O7HxVrspbJC9q58zrKm6qlx3Ep1rRswq/5ikCxDBovI0MJ
2cUsMqN5sOwrU9SZIwVcbI+CJeo7MDgSkqyce7OPXCSsmqLXkEVpeY/TMNwbzUWGrUry4Dh5nsKv
AhDPGLmrse8YUQO80272MejC5dqFBRkTuUxhDOgfiCASj4gwVeWJD8O0L1zxuLjDrTFOmwkSLgDE
9UdVD8jvCR8p2y7yTjpClSgwXoO/2j6i0oXVPXD5oUW8Mx4AXBwWg5UY7lyAPspbesNDkItCrzmG
bdBlrCfmEE44s8XkTQihmvJz1ZQBetIgz2zRkIMzyp3hdYaYQ4RsOLLdTdT2MQLBTRx60sRETqAM
dFMnvpX+3UrBYM/m3p+aKhtcScukdutrBMTHAzKEX8d2/ThSK3ajpgZadN1flciDJWwG59l3/tFf
pvzik8Duw7z17pGFeSojNZLUGc0M08+dKY1Loz9N+K2ClSCiIGQdD6Ho9qRcHimZ6G4WBSBMG53a
xvWzaVpoHFmDqQX0qsZKAeShC4QlWnIinnMoGftgBzkmmJcem06eAtneTsGQEBJcDfwtD9yzUb59
War6y+SPl9kjEEhQJlOEPaaLga5+iCLALGWPjqSonIuLVxNanK31vnbIzsItqa+cyaGxjYKnNcTq
g1KuIbqK5jNCI2jYmuao5HIHsfNieImsvrAsbZtQ7auSIh9qBU/nRc2xLYMA60yaYzugWwsGxnfL
gq+Qds2NIcVDPedvjjKv2sPxEDrapkHVn8uJvs+V72dDxRC1H1Sxo4ZiZmPYF4EAjZUDHKgVflw9
2CuQ0s8GjyRMoR7dRnMQxqoJ2mPIOf7m6EDgr4Dg61GdjXQOiNm1ifXynXRUdwNlB4gwotQxmaN0
nPsvQw6wmNsSlL7rv2JManim2vmqdcdPyguOreEvSNfxY9mAUezXjzO1SL6r+YA3Xe8EdD4kKde0
9oNrIXHKRIrEbj8lVURUDNr1QDofelSXSreEdVVOd9hxc6ndgYFCqT+OYQRqhV3TQu+J1+0LJN7x
nSZzTfH//F2EZZkMpfk6lMEtVmiMmVXLcWw8kZmgTohX3SGlTFALEFxiy1mM9V0TkZSW4rHG2hXh
t4fAgHI0TflYl2OCiGiPbNIQxM2yHnJsYYACBlEPKGzkJhhFvuSmXeBdh2TZD6E7hLdlU9VJ4bf3
TgnW8L+90W+9kfe3M+C3ZwH8e3H1H0fB7Ye/90gYBTEEIpzgAcfbks8/9EhYOB9AuoFKhIdNbEPd
7zIS/xcFaIpkApqr4Fve4XuPxCBLgaQOGQMB4eKf/U96pJ/hG6APEYewiMd4B3BdoEJvVsgPtBET
ONPGpfGuRfO2Dtfz/E0j+EuWyqN46z/wTNsr4PlIbEsthOjtsG3j51cw+eCNOZ/NtVl55rr666I9
mOXynvfjV1gIaS/7MoWjh76MtEeMrQeknnF3aB37xFd7NbF9G/QHMjiPEr61N+jPBJkFQMs4znok
48YK86uob6ilvLowO3bsBpFehQhvCYQTH2LCRdcsO6aWdYgnhx9niN5fJ+5cMXg8frqMZQDnuqw/
Iw+QxxX2CmTe4IIBcQryImvSpFHlfUIurNkBQC8Sr8LuI4p8EIpkeBPogGR12L9EfcEy+FoICXre
dCvniaLpUuOO9tDvEZo/w6F4QyzqAogxjaJmuUyF7Q51qw5tO64pYkpwNOs9W0sgeBhN17V9I86E
4debkYMjN+McKbin67ozXpgWenwIJMJZjj6yLnqrHILtIuY0akdBBVzu5grk9Tq34Cb6lI7VqQuC
95zaKYali6gESU1Vvo/YqQELF1ofDw8w1W8IVuNwzFiAyF+xN+IUmeDQdPzitR1Pe9de1WxNfRhB
ve4O/tKhZfWiJ1muaGSr+rbP0fkNKxrn0nnVnTsmC5FABrxH5AGqGN12FaPPeihZi6jcMOM0DMvj
UndlzCVHFlP6e6crh1j51ZvxogzRuATfhcB2mNHusLLoNIOeiTz77CmWTIJf+4P/OozrTVV696LJ
2xgLgfaBZ6+woOColulYzPJZWDh1TTQdkHi4ILTx4FPVQNyrn912eEJvBoLU7FTvn7BHBMtd+jff
G+Hwj9GesOFV4c1je8q8J8v6uaqDbAlE0uc8ZdV80cC1wXIA1PeWFv8oyOrYC/K48IM33AU7WcrX
IgcmMcPP2xFjcNl0XxclDyH4Z4/pN8zTr4Q4D0MAnbHKZQpzMXF4/XGt8rsKZSqGu3SpsGhsj3pT
xR4JHgV2gHTaiKQoC8zLTfMxogiTEy3g9awBvwrnoT2VwG1SoqlNuf8gI+/FYLsV4hG9jjGu4+6R
04ND5Rnp4BDMCcod75DbIZTfzyGBSbeY+mwLB0E4nw1ZVMNic70yz6bBvy5GNEIl958cH/hm1OXh
R+w2sZmgPEAN1T5YZOydgCvYLCRHAS9tidGp9C8d0M40wkcRs0pjjQKBtilrJVJPoMGoDXGycQWj
geVf1b0KfXfE9g7nrNGlIivgxmPXn8dxvtFY1oVSP3sxUj8ypm43HCCxyawozcWnBcLLlQYTv/J9
jqUp2Tq7NAaYqzM1bshIU9Y3AZQLAEBIJ4JwKJI815/4ujz1OXsPKmi1jF5JQZskooSkS00ueeU6
Ma0pjyufz2j7VPMAy5XgVg3y+tlU7f1k0UlgbgYSj1bfrZNeeikGX5Miw3oOugAHIoQiLIVAV4He
SQdAZtVyKrr8gAUlmQTdBCzjAoN4L7i4cmrnueptwoxzmqK83rdz9ebJHClTtAZTmPvYf4IEQe6V
wUc9ETdZ102e8mDMPla0gWNasj0LFKh5YGWJCNcqW8uyv1rD6pq5+lBFwx3t/CHZxoG5MW28TjzF
kXd0aW6ygvn9sV7sB5/ox8ZtEkhYpk6hFYpsmcYmwpljTpPjq7fWGwnOXwI6WTiYfXqYp+EKllnD
0VKsBii3VIE9WCnsvvWaZY+jXzznHV7BNfVjiyQ4uA4nOpmll6daFtctoHRsjmDhEcOviD0VPPIO
y8liDzQelLYBMVcvz3cYBh79fHkMW76+YOMV5gSjhh03BY2Dad6NS0j22rFglJYO4zd+MMbAaF76
sg53M1yKNalLdHJo08aDZ1t8xZPesbDBPoZGvfpWH9up3M0BosIDsMElOFXd8sERMrMlFrEoLT6Y
2n0MTRchdQXdQRHZpyqvl0QbLOfSjvMKtJGlbPa6F+NrmmoFe7QSuNADjCAwKNiLO0fjQ+7yeRca
EiXSOMu39u0vyzP/qTj/xt5iewFajWhTlukmxfxY/t2m8VlYyBZLoGSKvVNH7k93Uz/8Q4Jmc71+
aAK+vw6ID+w+Q3zxD00Adq01VSHa6wbBH+TfP+BUuoWj/IbjssfCsE25W+qDnTXc5eowuOKCuBjy
x+0ZJ9WF54hvRdWdyDH9dU7GBDbLRCPowPwLaAhEMXALeCuifk7x/oPm9W/t/MdExZ/+5nh+J7Qs
gCXQ83/+hHhjFJyTCqvUIH0Xy6MjgcGrbzbsX34N0c8EKj4fyGQeFg1C4sdnhAv951cZTKWXpsK2
SWybQsLR945M4WBw8g51w1qe5cS+YA+iumuR1Foi54ig/6YwaxxUzLlbZbMTgNjujGDRQ4uqZJS9
Jg6tcZcgBMFdrKPhqrguSXmac47P3MV94zcQjpeIr/ec1u/VWCe0Lsr9OnUxwlTIV4JLAPnPPpHe
hYu2LVdgHWBNL6KJ6hj0EsT4UYrQ2ggfAS33S+kF7zMcQANgEDHP+mpZ4WYF2ON4cOgkrxyhm3id
jUDfhCyQiGSAWad4yg1tHrsJMFxEiwtvNnzN1+PBhxlnFUoc1ZDysQw00457g0wSMm8rhB7K6kvu
vBsPSkJwxLn4GpK6wV1OD4v0XrHYQWStbpHfwdjE4BiuHloPmJFVGhRGpTNpDv2IIFBD55Nx7HtV
uuLTUvO943dNGtTiylVrHbOh2yFghNCSO983vl8jX0ljBIPmcxcM31az/OXlQP/0esANiSAPR+Ls
t8cS/nhf5gyrvPBn43VA3XcWDU26altf+6AtYpynb8XAsaFiEAn15zQsa+wHYBABArzRXCBB5xbD
1YhFW9PqXnEVvjCvFbuh4d0Oqo93bDh0z6IEY2JDG2aO8pqDi6KeTtiFlYY9QT+Cg8hpFLQ/3j0U
DTBfKgaFamCGeNTYD6G7HRbiYXmM/77Judi8oLC3sAEb6y7onZciZSNNfbjOSc8hpfST/yJD/zjl
7mc/mKtYTzgGovrgt/NjHslLYPukg4nkI9CD5VqxWdwHbu1VJcVDV/L7Joj2/jK+gLeBQNcqJ/M7
g16ws9lgJrutKhIxQ57TgZmUUp+8E1wTiY7YK2XkhQrbpR22zGIZkbOzK4EJPKuMev3eceQxam0G
BAU5Rpt6FXzuMATpDNBnonZAmUe4sR4f2aSvo3AGnbm8s8n51LH+vQ38jC/4PZHDrGx1o8R8CVp/
NykvFQF88LIFcRSVd5Um1RG7ETOs+Mr8Ok8bjYZG+QXmEtyMlkR3cNi/lgGBw7Q4iWfkbhxNlfgD
NlMVY0Kpj0V6CD8zgGghhaHkFWsybR1qZcSF0Dyr6IQo9Ag9obzlUEgLAS6mIucGVRzU1SGk9avV
ww6ccIvVVF5KKapmnU+7EeW97RudGtIBrK2wUAMA8yqrOIiw92mixZQMDg7dFSCYpGHMp/AW+sOh
aBEvnbpLG8ItRN4Xu+70BIanDk5eMZ0BAYFHUFj/yLC4BNsi5UHo6YoMmBJqH1tNsZXPBG2ST7c+
ByM7oY+5buadv+yUd4AX/qwdAKiNc+VzyBdQ5C/ImiL9kuf52bgW2DmnNAkkQo+TXVONvuGglhEL
NPzgAAoK3L0asTkztwgz9fQfStufndw/3KlsG39/GKBdES0y0hXW1aHu2+GqaWdsCG7gkt5U/RXF
xPL39ehn6uNbpfjx9X4Zp10hWkwXOBmU+kKxr3S+t9GlLV4m7x9iOds66J9rNmoSdi54CCHBePb4
Vhl/eGfTMNpOOna+XukCoLich6TM3Uc+FFj6pgiuOaQFtC6dWFGHYmkH4tO+hHy2ytXJJvy7CQK5
X7Fx+g58Ygj4wjyRUt0oJ3io0b5h6knAiT3MxTCn7VjsmrF8Q67imYha3xf/y96ZLcdtZF33iaDA
jMTlj6FGslgcRIq8QZAUhXme8fTfAt2WZdqWwvHfOqKjo900WQOAzJPn7L12nw6+EQFBzI3+aNDy
o7DwZ0UeXUq8bdFp1gMk5NtqyTw6KYde6/axph4X/O8GdE/mlseGbRvw2DFVCx4mCeOWcNHpPeRV
48dZsB8reoLZRKvUyJ8XeTZc6KqP9WQ3D2oYdD5NvvAX3+qf+y2/Xb4fv9QPE6nU1HGeB2I6iekp
Wl5m8SvW7C8u2nq7/nDRZCmjRsbJeIrFbZXYTq19/vn995d66M93xUcudm7mqZyq4Xwy1HOsr0JR
X45m9+cvsn4LfzKZvr8IEghKUsUQ5odbb7JaKJg6n4KWJo3cbsypST4zV/jF1ViDHX94off2F1It
ppGrodWiMv3z1zUncTGGS6WeKGNe2dS8u2wDRsqHQus+OIXzsDfd4eLlhiH0/eQ/Z/78whPd7rT9
zz/wGnLywxv5y2P9/kZ/uG72ENuVHbKMoAvwoHH4022/za+jje3bbtZslC3f8wbPicOAzLe9avD1
U/H683exxun85V38eHd+sA9nQZsJteF7/zLtVR8j+cY+W85VqzuRt30w3AvTy7f2KdpMO2y4u7vA
C7fTjnXPWbYw0VuP1plne9JFv4NffBVh4HdC7x4Fwkl2562xt/flEcnV53xz+/O3rv3qwfpQQUtq
G2dABLgvndKpNu0b8KM7xatdEBJe5MU+SrVDuT2/Xvj93nA5sCeHxLEPyQlDlBvAr3W+Bu79z9/V
X33LH56WD7tDDEW9sUzeVbS3nchddrBO7goADAyMHdOBrenOTrYVp3qnPtFI83/++n//sP7xHH1Y
bVhqpLmt5ukkL6VvjeORmdZp6OXyF5vSuqr87Hn9sOqIWGjDsGTziZoaMv6rPO1G82XW8EN3tKI2
P/9Uf3+pv3+qj4dJKWfxN+qkP0VWysnvpgqv//9e4MOZT5tEZpo5B6jUOKoJfUDb8n7+Cr+4MNb6
IP7wuGPKEYU186CV1akFgFapX5Ze/OKq/Op7+rC4tUrW4kxLutO0XhV8APb0P2zVP55UfvU5Ptxg
fbm0fdHm82kcJrz/J0DS7pKff/5l/eLusj6sSmYQSjPNOXaDyUQfVPhp1l2h4HetuXWTUT0NYfyL
r+5vP5dhK2hQ0LbYK27qx+sjUP8GVdz1Jz3/1iSbVIto8m1//rH+9vL88BofHpostFupBmh6MvCV
SfJ1nv+iq/CrF/iwJC4II7SkrIeTzKJNMzrFwP3zj/C+P/7swf9wH6MFABGXcR9zNnBqNzwMu/SS
I4J7aNzID68Yrv7Ckf7BrPt7BfX96TfXT/3Do6PQ/1M6NWKP+kJjuGBVBUHo1M74DJB+PzhnbGX8
wDH83FUccS05N52/7urnx/qsHTi1R06Cl9LZFW60/dXb+9uNHL3499Ll450TN0ziAx465WrdyCUH
eZ6+LxTXSbe691A4ByBzx2/yyypf+TwfsW38YvVCR/7z1fjDdR+k1oxqe6aW8AZv8ebFUU3HPmbe
jX0yL7Rt7z2qm8Ap6Nhumm21Fa70ixX6V2/B+rDvQciS9GKsupN0LJ0JjoaTfDU2oKOO/du0q/z8
wtoiNPwWPuJ+3qZXoZe8/fzWfD94/eTWtD7cJykOIL0tuDWbzbSpHYQda1W3T927YT/t9/FatJy6
3HmAuuPlm2prnVEVeb2Pzt2Jnn4FlXiX4//l/fzxuH9EKQjJZjZEKNup9mE3bs3MmzbLZrkAWe68
hvtgk7piX+1o6l1MrvXZF1QHhd9t081t7K1Fwv+Kg//8iatp8J9ljdvsrfgbf+L6S7+P7JE14vBj
IP9u03iPPPpB1riCdfiPYtCnXcvQ350f9ichr4HCjPP/N5f/QdaIpRHLB//FUXilHPwb9fb7EvfH
rcSpZbVOynTmVSHoSn9Ub0P/ttSpF/aVmjeM0wxlqbaNVobFtSZBG+LYDF36Cddvc62hzTIP+RAX
7kKjwEzsi6awUziZ6UuKpnCuCUhQOXzPuo6NG8bHBJdFW/bFxPypH+zrVIzfVj61azXi2e7VrYS8
JWxjLzTqrYzsRSB/Afiyk5DDMI7XaMWUF2EyXqerYsbsGuBp5g7s8U5OoN5pjMRQXWHTQm7Dyeyk
LrIXrzocprjZhhnHbl41OoWkvCSIdqZ6gPwirC+IjvbwjV7xklwKG+T6KhwzH1czXreqgCqjfGtm
4aWrPihZlULpqhmC47KZcF646qDsamRF+LYGd1yVRgCRG79a1UeyJvi0Bf3htlwecmRKMD5JMlmV
S82qYVIRM0U6CkGtDzfNqnNSmtDyE6RPAgkUzu7Bq1dVFDaWxxyZVJ8kt1FRXkFfZxqbB8YmXzVV
aEj346qysmMkO4qUG5486gMaKNRYzGw12m+kWyCevaiQbOVGum/hK+C+TL7O+SAcedV3kSRyv5J/
ARzMz4Xaj4hKlW+dKh0UxGEIOi7QVKBeW3Vjw7uCbNWSlauqbF71ZRNCM8b0b7lUjF+4nsfOeFpy
81JHhI9PHKFSAjg4uB1X5VozAjKkT2jXtBhVgHd+wYwrdOCylxFubnC3uMRD2u9ZC7cGqXq0jYVo
gMHiULpULSk6WGk5bIHwlnu+l0r2dTmutijS7dsAzRYn3FlBolCXi7kbjFnfVo2hZ17WT+FWwVia
QQVr4JUBlHwQpSl2AJrlL++rwH/LoUyL8J+Xw/+XP38tm79KmNbf+r4evltWdChAOlKhlZX6h8wb
BTjqJhNDyQcjnPgEc0fWWO5Wi+T7Ivq7gkl8UhXLAN+i/6YAt/7NcoiE7U/1DsshqVlQ3MjsYsWG
A/vhEFJWxpIac9BeyZl2h0/4Vm2NI5v/dToxmRpXckAoIzBV9F0yz4mXr3QBUIs4eaceKmLNOMOa
0agSR3Ij60g4o8pSHPrqJhoW5Rq2CUoOm79VWGXkZ5Am9nbYqIDAs9tm5R6ACRM8+dOlVHO2zosE
OfTKSZAmI/CslZ2QDaqEjGSsTzJgBezQxqU1LMVFor6PAFRYdQFGCnVFMrSY2MRKaTAjJLVLU9xF
hcDhtqIc5Kbd1wzHAtGF6C0VhJV6/kay1T2pQJKTqcauhAzB80Frrm4vlwVoxGKEL3B0EqdGEeQ2
kCXwnifKhbLSJqLnRsPSHO7KEsn2OPQQJ1c8BcdToJTZlHrq0lZ+BcViXDDzTF3ztYdvoXTV6Ngy
Hwhpx76FgTFLyBfmwpeWi75TDpMungxwGeXKzbBnFJ8MoS+aEFLfytbQB0G+36RcgdheuRu9D/6W
S6JZDJjCsN1bK6cDXdKNupI7bBAeEyiPthBEfax0j1jBWa6u8o3WGmB/mBiWqqCk2F/JIEGK9KqR
xYUKNGTuY90xwHgmooAZ0yKUWQkjtUY4mWixRJo2qVHYt2s/XJkkYScj7wRTEkpl4pSsVbWcHNrU
utPt5VlZ6Sb5nDod5pZkiGyvXPniFbNGByXKbpQH1TVBpGgKn2UBmmJreeKmgVLI5wqu660IoOWI
psX0U14tevMaM6Tdq4N05gZ/tksosw2K9kOUKl+aerhsSDvyJDTRXjxqb6Bw3gZrnjdtN4EXaUWw
I4DoJecRxTigRm6KbxK4RX9rMAc85kI+DEnyWC32cakVHIFlhKhOuqjnuXJakJebLgwUp0wD9pG2
PXXJwuMz3EVh8FJHltgVGpFPiZTfBgsH4UntH2rN2qd1xzzJKA/4EoFcziZghLbYm6HxuYnk6IBx
wHTSZLnlb44X7OIDCTBl6XchTPX3tJ+hIbZJAVy/0Sb4J+w4pqcE+kNbJpCRFmRBbQvzs1V7ZioS
m2Y0xzUiYoAMy9SWX0I5CHdFFDXnBJ6EMyIhnIpZQS2R38NCT5ywo1U5JAjW1TLmAlWFH2QJqJc4
jXnaO3UP0Bd4TQK1D1TiXl6EvK9FtLcUxDUm78WpTW12WBY7RlDtmf1wccq62OldvUsk00vKBQRm
wiijyiSFJ03vXEkGhD4jYfJsWLCdrhDnxP9ADnxOQtsp2+GzMiVHo+kPpUZXQ29uBwuy0dLm20gK
GOzmweIUqXIapv5zDMvBAS51zvX+Og3He5FOl+j/vuDat5yUMEonL5N7c1APgGt3c9verexBp+7p
M+Jg0Bw7my7StvYtuSk3+QyFSW2my6ABqlDA+0Wj6FtqdVAByTpz23/TjeApDpUrvUxOhPid6wQe
shjalwAdJ/Ls5UsW4Q7QayF8EouewIvi0QDc43RqdVdG+nGSqnLFpE6gSDHT3Gt9Yuxi3SyAZ62U
lqgkb2zltvy3hctQBmT9p1v4b2JkN3tunv+6j6+/+n0fVz6pMn5xg6dB+c149cO5Bh0w5xrNQKf8
jmT5/VxjfcL+bmpQ0nQCRbBz/WHXMj+BGdVUTjzyO1nvX2WW/I1UWMjCsmWOV7hjOWF9aFxYSqhk
WWNgCRRsCWo34W0Y59mfJvSUOE0UxAPpBpn8vsgLFa5RET3mtrUebzaEmW3LrDxZfQ0jWaLsD3wZ
VZmbJVZ5kcVWiU++uZ9l/QthkLL3vuwLzNtwfO/MJrhKZB7tKg15/MrEup5CDRso4BOq1YznqfSE
McrkC8mnJYoHz170gQqWWILUELBh5C5iR0JamKCpVMLZUwSeyoBlx5YNglYwrXgSnI1pXoUs+MSp
8Vtm8qszdRjkz7B8PSuZ/VFlct3ZsMhM5PpsWsaryefkwMbfre018mHISrjkY0x6UPJqx7bw5wDP
Vp+zCbFQ7JdCD/bAs7CpsKuVnGq2mHOzo2FI4wW5aTDYh5yJKJRcXLwpwQ5gO0CGXJXYhowEz8+4
6JvO7O9ItENwl9afTSu8qmplZAg7AoiOa1BbQe8EVdF7hYQ4YtTl2oVFz6Gr7i8xvFVuyrawoQpa
i/mDUaj3eTLc2EnA+x4TAyWJsrO0GulQGn8dFO0yLJbTouaD21u4zPqk+ZJ1khv0Ze+kcXXRRyJB
N6faLmMygF1T57JjoTIuE82pCIwCLG3uk868ToMZscEIHkTF11oTCLEhTuS1VsHIqXJ7UrXR12tp
W8r5RZ7HV0rWHzXyRFxqxmM9cM8EfXuuY5M1P+WrkYe59/VVdV2Ebpv027rWLi0jSjcd51i3HhKy
DhXEH5W0bRLpnE4lhRfbI1cvxqgnzBs4Dpc28i2/mWmU67mOIiTFgayVhN5letf6SSpbYF8Dvw3b
u8meos2QFJehHjzN9TBvMklsw1YzPaOT7/W6fkq0GuVUxoGu7ojyi8PrcKSim1AKhdOpbu2vjTlW
Xj60fIetuQ9rfFtg7i+6vr2K31kQ5TsXgnzGdGfBirDT6j4NQmIyl+HYxot+WSBLOyRwA8pUvumM
5quAhdPAFajgC4SF6VXwBmy4Aw38gRIOQVyWhykhrLfMzkQyph5apX6brfACE4rBYkoUlslIeEn8
TjnQi2G5Vc3lMqybdguLbtyEMXvMqJm8LsfArNmO1tKuOuvduGjnxnhsJQUJd29/LmzFQRV6bNQV
I90Z+zHCslYt535Rd8EQj85s9NcsdkiPOk9VgbpJMZOCoA7OWttdCEPDFik6wofiGw4XbjCHt0uF
7JlKktM+CAs2StyPOh2CrR0q2gaNYrzRmASgkgt3NRW5o6qRIIEgIyax584pKsrsQlFXT15+FpP0
xdKLb2Ujf6U8S10Qc/dLgcANMA+djUr3DA0uhdxANLeS6gWdZ3Bhp0QwTIJlQpbPeZnzMFi1coXp
8E1bSHsjluGtb1F34Z6/0cYZ5X8xPCFk39S6/GWOrUuRQWEGc+zlE8+L0Ft9O/XhQzFRRqZjsanE
vB2C0pOr5mzH2VE2kw1F/uAadXBKrBXSbaY7/PT2wZKMz4JYJ14Z3TE4P0U2VMTIZetRTHIumJLJ
ryX1kjqrPFulfQPLYjdleuwWGToYK1MdFcQ/1m0NLpzVYXGgI9Klre7acf0c1VXqdjMCHTMjvk2U
MEFe48q6AYp/k/KdsA8owAmLzAEgecZ0uYGSzFUcUIFVAR2XYRljF1DGNqqxIcRJRrREJ30lLAOg
ZIqS3QgPmRFi71Ixv/bxcNQlpfC5oPMOjNXNGj+j5BWMfyKwvF7gt5vQRkMnB6hYTm4geanQjpEt
TDRg1pPcLvGe5Ri6uI6JV582UlTfqnGwNZe5gX9k9v4UI9an+ntFpxy7EpqtxrAWZ6hrhhWoL/HB
3PbGdKHLbeJKWg3Wg7U+rU5jWWX7Shmvwm66kefSRwc8bwzTOpa1vZNw66D4n/vN2Ktvqd3j+rKs
6zzihLlki+b+V0+911MqLYJ/bomcnqu/KaTW3/leSKmf1jQOg3C1ta27jj9+KKRM/FlUBAr9jT8V
UuITcHZsVha02bUnwm/90RGBw7E6vTTsWKhX/1UhpcG//XECtHZESH9TdfTcKyKICvLPM7KmbnPd
AGF9RYIy2G21o2XIqkKLdP6sJPU2iMSrPiq1F1T9i9xT7q8cDnnSj60RZF6dSp9h+3iyMV8aSxU6
RpdvmPN1jhzGV2acbeZAnGHlkhav9Kpfj/I2nezLUTMuyrzcEse56xOVkopepTCXlOqCLklnjrem
UfYbAHNvklkcaetQJgx6eGmZwMKlKiWvtTb8We0MYsjkLVK+vWyMiDhVcW9V2rlVsyvD7mKnbwra
2dqQ3afmjKmD5XQ27Gv2g9uQ0M+CJAdvNsj6CjOCx+ZOB5QaJrRD+uq56Hid2Ri2i4Q1nYauK5nK
LpdSeRNOCgG62Rj5nR3LHetOhSo4TH21GqmwEG57GL/cODM2dp29hDhbupm3Xg3ttq/pubolxv+J
VXpjycSmjOmuKQp/CjskzKg4Gz1T9oTBHDU5iw+KZBwCFllaATJC7tS6GInidO3RvCVNE2ytaDhN
FpBjQ7vRr1AlYDvoOeQvRI4ZrZHtKacRHmJxxjyGDy54akNxl0gCv6uk7fQ5eANjVjg5sZnMLXIP
B/foqBhkYfHpgHXR1ddpLt/NwobqOhl7CLSTp4fVjaJkOzo4lks8K1C3BRlvGbfB3hwHXC8yWTrI
yzaEwvU+9fDs14QBO0aYvhJdjmO3VgYXAbJ6Y9dIRRcjBf8m4i2K9MiTOgUB7ijba7mq5pepGdA2
wDizC9cO0CiJdF8JLMmWjp0YJIpjqlaC197I6l2D/DC4FaOg121GX2nQAIUKUvuwVKy0Stbsmzq8
a2UTpVSn7nSJIL28M30KEcMfROFhKC6PhWgu2zb/Vk6su/oyHuVp+FK1s+UQEXzfq5SlsWZr7hBU
X4ZWyL7V0tQqJupFWXcbkVwvnRgQ8YRkZxiXxSJ4JKT7blSQ7RLVk6hU+WaoX1ktAYhC2RhxUjhI
2krHTtttYqkXmcnJHT3t01KRgi2nn6n5aic3gn2o1sYW+mnuJgrE4IYosg2JiSRZpBBcJLzFYeSD
zr4sMnvXGUPpjhb7XRB/LqWZIbyERI2ssq9aXN0TruxJYYYhWKjK89AYPnvI46CDtBo7AT2lHlxl
NtNrM9WfuorCD1EpFddxNiqEn/oxpBCkxjauJlpLlwiEtxkhxn5lmUeSVt2mYdgiqdEN5rC1Tp+f
VOsulXx9Fscqjjc25m8k6ZTBBZkA8UBftUuza4HI2VXL5rGSupuEDCW3kJZzZICVNbXO00bE0XHi
S5K5W1pMlsAUazCWULpQpzlZZF8CEdlbqK1hwLi9zlVXx/Y4WAwM0nx5ss2h23R54zIrqI0GMq2U
hFBf64t+XPZ2Fb9QDhIboihwDUfbqeLktsuMF7uJaq+fEJIXtXUPRqFwlTzgIUbUDQ248/FAMjO2
l2wiixgr4Om/Hfe3HRdlyD/vuJckqrz+tXexiit+33KxUdvr/JQt1MARsUoXv2+5gPoM/Murz9jE
qvPHTFZX+CUL3zXtBETTK8LvfzsuPyFtlQEv6h75fXbxb2YQa1PlBwHcOpHVEUnTQ1dUWiG/Rbf9
IEqpy1rvRJRE55pOF7dcOlKiGtaVQveZc3soBdLip1U5siz11SLbHjwAPWBjop2+EXKudLcjRkX7
2yjaXSMVWvBMdlKCjnosMmJbNb0NDgqEAsUPmWiGZz0tuPXhh0SU7WzCE7XgYiyE0WdkhBOmZBXW
SmOYTRNoQKfZcD6auacIZTRYRzsYKrjeMloljjaRSbarw8ZO3CJvobXXY9aQuZj1NeyoebR8FuaS
Zq4wPXnpyFs0IDH8Jof6b/6mIOz6ya3//PXt7/p262/9cO/j0aczB2kSIKhBuff93pcBzXH3/UBg
+qNvRxUIJlEn8ECzxApH+r3cND+BFZUFEDgU1rT87H91879rvv+kRxAUAtjWcPkDOBAfMUts6nPL
KS28Cux8Y805NhC4S2zuzUnrsgfIZk41dba3xPPBCuZ8W+Qh6Uc9ljDlTZeG2h1tg3CZsXVpSRyn
0g6cxU4ui2iQgQJI12vkjdOVgpDvPLuX7XW2Hdu2r8fVq9JXCAAEaicKuUEZHs0s/6YkqW+oKzUl
jJ5MO/Mk8tfuafHLJBikxzAfA9cKjMHjbZd4ouJTGXOYDxX1kSMeUPBY52jFQ+eNmPE2Uxd8G8b2
TcsME/+LbPqipMNFUN1tmUb0CgvsA+M9uy+ZoWZIYWAQipdS3hmmZHg9yEenAo/Jaa18EUbyGlnN
KTdkcnEpp7y+aQHaVMoZaj3+5/CyrJZjUsbDNmkYm7WxejaS5CwX2uTEMdOPUXSTmyFD25o6Tuyh
HV+DNsG0q/QxHlJB3y2CdZzJyd0wzOe4J2sBElvNR8ooMnP7ts3ZYXOFcdrYbJJMpzlpL8cosw9R
Nx2BNsukNWNF1LthHyqMPsOS4R7+7tIpe0PaSHErPDuSl88t/J2djfHZ7xl0ggfttAN872Rjp9NX
aZhxMwOLcuVCDr02T8RWo3bzq1C7MGtlX+ui2szw5K9nqQAnX3f2Zg5l0oSz3F5dTKZb9EV0XZr0
6xokY7FFDlj9NMvVsm1DSEFZFZHvF1oxUWr6Bp1AvdeDYcZWFjDXqhffYiV0iBZ77ewISaAFnCiT
9NzPCvKFpjx4yizaU+CWLmNcmB5/FPaniPHrUwrLy+DHgUKbuDDbg6rWN2TnRZ6lDlCYJ4MbsreM
k9zC7WsoB9ywX16x8dORbHvMgpIOmC8tbDDaK944URHkzeLSynXbE5P51lQDPUFbORUjpYbWcSsT
izd54cAhqwqJ9lQk87aItKfBSnGS5UCGWmFlu66dMphC463E4HsfEJxH05Tc7jxgmQ4L4cn9wG1s
W+dAptqv9UzfITZ5tBP1hcA40M0T/papvZRynDykndSgAglKjmowZvrMxced7hWtbV7L89LphxXa
b5BxZoAin5oZOvX4RrP5YQp55tVUYKPGWujMnHxmrdPO1pg/jkWFJUDQeAzajuxjY76fQrYjMxgx
csW4ukabkO+ym900LVF29ON2zDTGc7SzA3qnjgJs6cgEtHaYytEqNoq7pQyuGpN+8GS3Hqyyb3FH
90UjGUIVx0Hghe2S47JEW5XswUjCNJ/QaC1nCGBsaHgfG/2GzWzwFP7upp6Uo9AwnZGnty+tUMUI
wBtnHN6O+lGW5G9mZ23aFKVxSYpwGeTzgSr7WV1zsmplPadO0DOJ5TAPwC82UHmnoHfpoXUPRVgP
JbyoiqiYSGrKW4099540wJFwRxV+gym3QwNbSxhPYVoah66tsvCchVko9l0t6U9BSO7FZWLEIB3t
tPN6O3hQIrCNxgT8TQmgiAXcLzu9xCw1Jki8R+473yAtnROy/NjrPTgOwG8kre4iEzYXZAl5N8Zh
4dhlcC2W5WoqoGgu8ERcKczPGeahz73CCpdXMctTmql+HybfIIZeN0xBdtIIEypuK/JuoAoBPrkh
JvNrPg/3tVEuG55i4FrN/WJj8a3l5Wzr8bFPsVZVlfysrDyWshivkjG/UUYlc7suaNdGasy9FlzN
qay6cwekTgqTCXv3qKT7olThN2jFs1UOMNBUkOdYKi7iNHlRSXcvk+llstRNQWCOswgID7rOc5gN
GBel9E6eLjhAo/lgVI2eYaHzzDF0EFehYsSbYU6+mVp0WPKOTEIalFYW+wqZV44iMIRmQ605Vj7e
5os2wUJh9YOOFW4KDUzGzAmNc1bsd+WEylbPt9ogK24+wp1RzfomTgwb7phF+nd9LltAlvU4Etgr
pLs6UkmJUXLPCKUNrkZ4+VZBJ4P0MhI3JM7DLqTSh0QMr8loRttxyo5jNQHTmLpjUC0PRo1prYqv
ZqPMcUiZhypg/Non1SbGG1614glFW0xcURm6IFiBXeTKRaHFgHDmwWHq62HSv7Vs2ib0qt/MwW42
48Jiq9EPT3KK19xKTf7FadOYzYHiFgZIzHwpbixg9hbrMyEBZAiRhhvfIg98rnsQETX/H+KzoZTu
U41LLaOqa/qyY7kZNrkSviW2vTOQOpQSPw0q8a0bkq9VqxxzNfqvnlzR5gYa05/Vk+D++/Zv2pfr
b/1eT6JvtWxOURoeTCSsq8T+ez1JLjYxb6vv/H0QTI/y93rS/oQilh/RlcOUvvYov9eTJHDDEsYU
8Vtjk8Htv9C3qmsj9M+nKcuSFea/yG9piiIt+3P7chqDMOUhAHy/VNa8X0xmIC9DpHXBlcotmudg
OCV1J4KVoNZHt7Me6vgz9IrUJvYgFjtGmFmd+jAiSNc1cnknI2Jkx9UYxw3lszIv3M9G/AwdBXW6
FrVe05rHDMEieTvJOante2LAOsSheN8G0ca+mBdofja8T8DEAVVeOjikhUK5abrMi8zu2BeV7ShW
/DAo5jVgIyTeNCBKvK0Dq07NLjHIOdavpLxekHGUZrlv9dZw4qw0eYZhztg1kQdxszzbSXNtArrY
9TAGKYXUsyp32WWvL+VGpEbh0YwtvbitvxEM/EwwCD0uibTn+W2cVIPGJ9mwkhZ6WV5cTqr+UBUh
Sh/CvHZI4ld9L7FeaQWlSiuBDi+oaV1lmI5ApxJfbZa3XgQbABIr4GqrsKO3FSGycH+apvTgLtLa
gxpEwoT21uHQTEfkKra8Up0uCqB0Cx1b2NABLHOL2GDAdaSMFxDaqx0QEH8qk7sM7lTXFddVIx8j
0Hfoi8H/GPn1wCXtwa748hQ3xbaTFLERZnVQjPwF3gGqLyu4kGn9FqukWX9XN4tV6MxgvgqeiCBl
C2/ftdBkGM/VNleg4QEuYjC2JMxwzSF9BVbGttywbav9q91GG7r8IUU1P4778Q0mJ76idrKdfJh2
3Ryd9CIQPsFt86buom8cCRonEfOjKdt33TJdwx170prqIJfLYzwktmsareZbof41VidoOOH8lEU1
i2dXWS5lGmKaZnAMGQmR0VwHMBDQVmOatOq7OeZjAdRHDxiKq2BqIfVHC5IcThFRB+owNW2/Iyp4
t1icckrdX+HaQ5cx66t01cO/eUpDW9sagD6aYNnidwbYlcNWkMroNUxr0Db9vGzEyAEmmcOtKrWP
8VjuSh4btxAUi4LxeUXDE6UWlZNipvtp1AOa1NKZJueXppMPZqUpEBGTz0YQhT7BIhZKPXRStqB0
Bu1tpRYKuPJQGC1mihx4wuoOj8z0Wxt1V1WuPw8tKM4MjVY6JycaNMdqHYSSpnYsxoxAak0b3ASB
UxPRy0i6YdzW1OpOF7HvqHb2TEbm42KVfp4Ze7nFR5Jq1e0imaTLRYIMZdX4jPD4dkJ2KdvjF4xW
DO0ie79M9TEIRXUMyvaLCfWTvs6tZJr7SBNXEvSjSDbfqNhOed7s0pJ7czFnqAIKSodBDW+GAWom
dRCtf4b9ke0z+Cgcnh7zqR3aPTrt/iYQwwoqyzaQaY9mx+Huvy7hb1vbT1slG3CeRfnXNqH8Y6sE
UL6JVEnIFtuRvBr3vm9t8iebi4k5w5T5N1bewe9bm/WJf2b3AhSwzuzED1ubQZ4HfT2wPOijFJRQ
/2ZrYzz4cWtjHmfYyKUtBfSioX2QOKU5vF66CdaJR/sQdvVQXHajOsPByIeqKgn37ZetGFtYaVEe
TvclZ+zZK+0C4GuXRI+T1t7mUT17Ed4mXAyIUcbQSxd0DYpcqF6pZKZT2skLhUQMJcWI/VmC8FEs
xgkmN2evTHosqb4hUD+Mfamk1x0I6FvowDt7pOS2OL0AQWPJjKVTGhRidDh+QTuWwse56qIzhWZs
nqNsts5GIUDQ6Cz/DDvAo5SeEeRycWdakrYJGjsafQKQgu6qltqIsYqOsQJ17viQqnakeXQOdnGU
JPNOlZvLMdEPY2/cGKE+g1At7uUlu+t1fBdlVL1yIAeWH/UveUd4SbMC8xTtJSrAGjWSfjJ7lfDK
6b6PYsPV0LZKg+RJuQ72cA141CsAW2IeEYIWnOIUPXogT1C4OXRBNTRu8bhc4Utg55Tir6pt3eW9
zuSMo26b86UYoru2INQx8YfVOPL3HQaD6dOshXD6xngnL/bo1fU6v8nEXZ0p6qYsUlRh2spAS9Rd
RIZAMQyNl4/xXotgQRoM7eH80o9t5bTwgaRkPmEHB61SrwO1z91Fi8gD09Vdmc4IIARnVHv+P/bO
Y0luo2uir/K9ABQoeGy70X68n9kgZoZDeFcwBeDp/wNSlEjKhf61FopQhET2mO7CrbyZJ0fjMA0Q
57Re/6RXaAh9W6y10Ab84rY7WsZeAb6cHN89tSYP9cQj7GHO/i1AumHtx+12DLVPtj9vc308UFRw
QTSnBqUig1qSvSBZDd0grD93lYYNJlE0TGnFu4p9TGpT+cRbuuP0Hdw9WMRsy9vr2hL4nDqvuuhs
mp2sObzK/e7axksBe0bchLVGXWDuxmyXpb0GEN5yaYwDDCRPrIjhFkXdseM32FFLRW1KshttWG6O
3lQbfGyHgoqzsbEfRdtdsPe9S7sqWyd6+1BE8U1sxag+er8TkaMdUqczV0MsbyY3vIOHfD03sHMg
GtUBlS4RiRtquYUMr/pwhk4Tagdz1N5lo8WBbtXZbrJDfTULn0t0jx0qstud59I8LaxpPla1e5lO
FUwabIAw3EpzXQwsxBtLnbEg/UT9zDHpPZop2uTcSYGaJfTOU9gidrqfA9lishR8AAJLpK9se9V2
8rtLtrpPg4bWxkd9WKVT4azj3vxcTD0Xq7q66ed63UHenJdCGdcd55VVVhCms+HeUHO51yzenWGE
Eb/NE+QYY971rvtkK/vWEPyGhypjHyCNA/M8rDnPg6oGT93Buos30LK2qkkvk8gJHC27KfLhIop5
b6vYJf2AgpoU/hXOG0BPOS0TqlZm0MhxWjWlc4d7YGAjp38ODYvLZv7O1eXQKFNHckUVCTXjw2q1
h5ai83VRFA+F6oyN4fe3XJvFLnGK52qyTrZWsYhfJo7WOrrW6FybqVe7jLY6eEDEKBNRqjJs8HBL
uKC3m3NnUa5mJCx7mN+kaTw3eFT3/qJy1chd86J7eV3sBZaEh04jMVIH8hj+5Pagux2hLDBnXq3n
+0mvJqxV6GqQ7l/AEt52RUe5T+zhSu9DFcieS0Na1yV2dR1uAqbmzDY/hnmitM92ztNFz8NH5e6z
ReMbFrWPlCdzo67g5FvqXRv4JItFHdRDZV8ki2I4tA3MLnamgYmcqBZdcfJoxBVIjdmiOXJzR7lE
hUwwYwZTGtfnBRLlhFQJXYj7yqJecrOLVqPJu7WW6buzaJx1mM4bG9kzssxF/0QJrZBEsxgcVuw6
+dbz5mLFeTjvSiRU6dnbEkk1UuGuWjRWbFUO4YAE/1SruOF3hb8dF1UWIld47eC43eJDOzRIt6mb
0Pm7qLltQzsrhHp9jeg6HeO+/5QRltjGiw5s1Cb1vDXlqhka+T4uy/l+VgW/GzUhfCxqslbye40M
ij1tpGaz4NYghMeQag+nCDk6RJbWkrmAd1XLbZjN1xLpOordW09znTN8CRSHLvp2j9ANB/WuNOaJ
B6JAPzUxBvYob0CmunenKaDqL5r5uKjnkwCoRUiAEF4eX3VI7GVIEDFbVPca+Z3L5hkxk4CB+WpY
9HkzbXTuXQrGPuK9j4jvUf+ctyFSm8vCgsZIm4yOjaffmzbhsgWIZvYBOosBClReq0y7ylkYZFgW
1vqyQ0ilQGGz6o+cWT7CWIAxho2DXHYPPcD9QOXAc5e9xMCCIvR7qomFPgSqkeG6Yo1RQsXap2Ma
PTRxTjQkfIaQimmRj67LEkQW3bNtarTbdBf1wFvZ6or30Db8jVg2KD6rlH7ZqVTLdsVgzTLrGKO1
PDkXtR0SJclOuWQSsXim2suWRrCuGdlPun145i17HIoMj1zB/MUxRA61fCxY+YylwQpx2QJBO13z
Cz02CDy0G37SEHzUqPUrBwmobLQ9S4sPD2moXTSi1q1ZgvBfFfKRnupnc3Qq4KJJlKW6zciepm9x
y+E7aOQ70aHomFjeNUhTLRoVPoEt9w5+PYt8ldbtaVwELZBVcmugcaGFmSsD1StJI/5nDvABTSyR
1Gdai0xGB3myY3J7YQI7JCNVaIukZqKtzYvI1qO2Oahuoa8ehclfvshxKkxP2SLQmUX3bkXkhVyk
uxoNT3cLmoPLB2HywPPLaGcvct/kEZXNknu5CIH1IglqaIN14p/RiOYHJqphr3Evdcn0rmcURUD1
M9eOdAMHsYDxh+zYLgIk7RrVqlxESVNOt8UiUxqLYBkzd1KXmWzYIC/Tgzy4qJsKlRMYb7KNlHc5
iXRXsTtBeTe8nZzKQIxnHkppvEim2IKKtY6KmqYDYS50VdrV3kx0VkdFbx66q7UIsFqox/yymldM
IRQIGBi6eRAP8sTH5y6aiCUlnfcgapeoKf2drdx4ezPK90aVH4YuYylg1telI3HM6mXiUHVs2UID
z1xV+pqYVyuP2ci3bNLNDaJwW+WDNl1P/HZK3U60wAoraJyzq5LA87NjReRqNWYanzZN7mYf3oms
WFJhHw3KTFPbxKoCC8BmEA7VE9A6MqweS4VhisQm5xpryvJWWQ5Kh0mpQiofAejChGTw0kIaL33b
P8Su9Ur0+GpMfG6yLvpHnGDRYe5q2V5YzcpWg1jRHjryOJmYC3UebC2PNH5/y++O2bz3kSL8+KyR
sD1zzL9j514MXXIJXfuMIhsfpGP6KnyWUL51JuaJ6aaq33i2UOSSkzQovfs2Saxj1+sfcwi/dk7Z
IU6DB6S2v2qoVGfI487PVQL/XKwClORPUhV7kw3kmj6Tedu0zpnV5DcGG4Oyw9NrF5Xac+6e+XDW
XTYsay7t7b4f+ESnBi9Ibm6dWXm7asFHy3ZmA1qnu9pg2vVF9pI1ydqKLzP2GSnkRjWaB1sSD/I9
AKRtuZAiu8vCRuadgIViul2riXVrpF/YdEnl5XBhGZcOUro2N4GUGgwRvXrMVHTo4uS5c7v72q/Q
W2DKeXI3Ou4CjFsz915MjfGS1PTrtRonYxEd5smdD2mfY6lK7+OEeJbLLLiJUcpPnAovFkyfx2Km
4rRq0tNIHDlocS2vp2I+V8NEnbkjnupBfx3T7BrjxWtWewTRWqjTk/+c29VZYsaPhYp/xc38533Q
uX//tfdhk/8vqCT54z+50/MHv8nVWH8Wbw03estzMNdgZPjtTo+Nx8IxC8vAIf67XNy/3empXXBc
6zcawyJyf7M/eL/YZJ0ESWYoCg56wL+50xOD/vlO7/H36AjqlimomVqcG98TaZooHG1NDOSPrepB
LQHEgSSiRpEfB3krr7R5iSkWTvVkW7gRaWxuVp2ruZgZaHlqtaE8Qi3EPTeXcq2Tf4Qm4FKL4AGL
pktgOy93rSIhKWJLip86q6+wW/oDjlKClSkJy36JWpqjFyPMufc+KcwITuTWmYlRuSQ0UfyjvSSz
2SXjIyPMUpVU32JqI/mqJf5e6NF7SeJzNPUTbUEXlY7dDQVXkExIxXayBRZXbtW5SnbTEiHFgXpK
p/w57Ixj5/CsjUmb6kOUb6PGwZCnCCA6ZFIdmVH0ucRU5WhPW78aP5zK+cCtkgaUCPUB4+O5P5pP
JabUY92TbMLK8moMTKNLJJYv890vi8sMzzyMMXetxU5VPYwIlxtDF7tMUFFn00cH82EbVXSnhFgt
Zrv4cHKxGZfuuiqvdxZtdq5UNwpI5x77iIeya0ebTM1zkHJObHptvHRjhvaEhryEprxhqcxDKvrS
78CjdinUS2nWozfgYDrdS7FU7jVL+V5PC9+81PF5+vTg5UBTr8aWGtG6G5m2c8+S/hldxJ/nPuZa
NA3phgiRxV6AFIS1+AiLBGmjSVL/UDdTfG1mxj3tL8RVl1Wt4cWrOcrM51lnwMd56Pd3vZNHF6jn
9XHWC+nT4ZTtgV+wANZvRFXZyD5EpcpkankIJQ+JIvkSxr0H/7hLAzPiMl47NbXdVQedTauuojRk
fsWpajj6nauRYFEpIe9+3Ou5c7T6kh/xVARhOj7WdvLJpVs71ADDloLhW4FPZtPav6LuTEi25rNm
5C9abcLBj9wdbgJ4fHGKxhPdNi6xkbGft5rBtaxZXLNlFowwoMs8O3NC91z0DG/exEwzl5/1vPI2
A/mp5QZCJ1AW2VBy03fhaE+2wR46Hm/yuDubBu3O1uKXLs8/IFJDvey1UzPKC90M78cyPU2q4LcV
Gg9Rgfoey/AuHF30NH5CtRFZW7N2afzx/IvSsJ5DV93j7p/xjOQpuWM6Wd1Ef2st/0ZJcIFcQxjW
iOi7w6US1o058b0UYXItW3GgUHgNHeq43MnJ/J1qzX6Lpu7Bw8oclTZ9ZzY17PPelAVhNtLMWTs9
2b3n7dKIQT9L2KdwzHElapiEfaaJVTgOyXpI5JNsi6PpAxo2jQPOmwfubFBVCYisG1Mdamkna96w
VKlp+Q19Y2+1WVBOlAGHnh1vx83A3NAg5G3Cji51IyZKWPlsayxicWldpAduYuuxJT5tUKi2nLic
UoIrrzVcVaCxVwb1v6QPp+tIZ9UuWF/o/Ag4k67Nictw77/bztJ84jr3hmOdm1aT4q6f6KWaUHyq
5YiTMeNspN8afsmwjqPDWAIKLSAaX9j5vhioK8+xikRYttcO77d+jm6Fbr25BRukyPDO6SEOd1EE
1CVt8xva7CXFbjjUJ8N9MxL44KLM6dF06s1kLhGphCgWJ+k2o4NJdnN4mzZkLxMp7spkwNLPwu69
jrULpxoGwMycEUnyqOLhEvlyX9je53mEl9CVZOPjWqdsrqHoPWltjV1fOxePBS1+0fkMEZV8A2Ye
uEEn25N3/pKHlksyep6rF2J+/qa2BhP38/wUDiSj3aF9czqtWc+9vKJ55iImcm0SvR6JYIsli22W
8pjPxibDiYm5yr4men3e+4izzpLkTol0e0S7GXlpM1zS3rZCwUrm/s4kCJ6E+jEnGJ4O+MwzwPN8
NfMTpqzztpkeCltd1yq94v3AD4GYeUHcfLZjHfYCNXmDXqIkDf1qaSAoCakLVAqd0Lqlj/elQYKU
MLtDqL320Vg9/mVc8u5u7pB8XzLwvpMYZLHIxZc62fllFlNJvS+JzsslQ+8Spo9Q7DiJyNfbS9Ke
uD2Z+zo9zEsKX8vUofySy18S+lQpGgfiFUngL/l9LkJQAHWu9+S+BLJswgqPXdJ/a5avaxYmmL+e
ytb05cnX/62rtvszHwF/9ttgZohfbBOdncWJED8NZsYvTEJsU37v+Pw2mHm/CCzSdEFRQfw16/Tb
YOb+wgxn28uORJiO+y99BF+6GX7wpRJWx63A3+nQMgrQ68fBzC/cGay7PVzmA1T/kOhqxWdiFNax
pGkzXadOcY8vDNfPqJ15pYH50kYkUqkTxKSmV6JL74junDJvvB0wEk0hj8Y65p7WK29ezcl89JPu
QcG/dAuuPRim4G1VeNUo5h1HhrHeWY+0JSdzrlYFjSo4G/jsuP4Ir8v8TPUGXs4vRd1JxrCXmMaG
galhI0+fQZp6LLhJVbChfp4cjpM2t6YNYKsi0GV9ZzkAMsBaG2ubOcfEVb6mgmVl4TpbyzJ8zH0R
0MxDYrdtAztRb07PFS2k1cAW7jtQB54qTvLkNCMHiuughhN6bBJ3pVXGE9kV1O96BstubmNWvzQg
0BHgDHYwVN6+HVHIJ2tA5h7Gt6kK2cuMl3rFndDOuueEGYs0dbbLsvHg0da0FaOSgRzo1POi+lOk
W8R7RPlUV3ZKrmIwg7DvPpzQmC/w2r0m6E8n/BkUCthGscIEiKDhiRujdWVgVSFRe7J5kDRGf6dU
dhJ2Mzx7/sBB2FeywxM2IJ+4CS0GbrXNJ1NHTxznjRdzwEX+DJAYjeF80r0xyNiNbz0YL+S+tGnd
QUBYoffFG1jlcjPplByVessFUq8A9fqquzVQnh/g+/BM05eysDbXz6GfUJOtsuy5kpA4IHw5BIeK
4qaVormKHSM5eEKOZyT4TVYpeXXEIiapuLSs9CzEKBlutGo86+VMXnYu9PBt9BLNC5StNTgb9eus
8sUmjlV9r0/84HchHtsXLfWjz5aX95tiKaMH/IXS6nlcaAEKtWm9YF+XjY4EMtga5x2LbFQV8nrR
GTfzZ70lUKM1/YWMS7UPw25JrQ1M/mblbwm4DytrrC+szui2TaFjapTdphH+KUTdXGU5J3xpzmaA
ewznqJUJto9eErjFBFKxN+Maatqta5Y1VZBOdl7hVT/RfDo8+IXnHRyMTKtY08Od5pXUjWvy82iE
2r7AA7tU8HwFo/93xV7Cn399mAcf+f8ueMt//MkV+/tAq/kLH3o23cyWHJRsuX+/Ylt0MlNDZdJP
87V5/tsV2yIFq6MFcs8mY6N/Cd78Hq8xWcG7nOTOl536vyIe/nzBtmiphwRoOZ7um5a1oMm+v2DT
TMGsN5dI9PR26lly5kbZ2hz+qQzpa0zn9wcG3wl53eWRJcj2UVri/vRCGj4hamwzdWXbuF66CFTJ
xp77Y5EUyOQGbBCNqB01etUlfNWzJqvvXYNWnBoS01oVabfJpMjo+MP5yWdIX5sUC640mwgtlucn
1daEBrwYY9TSvxy3+W3NC66NOr+q9AQbiVty+2kM2j20gTMdnzgcAe/UFOPap3l6XTJzBhD+96aZ
ldvQGbaGZeMLpreedTobMNd61Dz33Ldwn/NtPsVWXq2H0b41DfNGK8YLTbMvKOXDm6kWOqPnH6Q/
XKiwiDhDxD3WGETUaCAZsRhv+oFdrjZvldU/+p78MCL3JSqmZzkXXF2o7QjyiaIRGZ4ct2AIc+29
44dy13INW5tS3tNusk+Wy08exydAy2+lgpsxFHrNsUHPfV6NdaD1qNm5VfGY6OYXUcAAma300vI4
mL+QFWoWj0sRoCvuyX+eVxSTUTox3bhNv2Oa2EdOpNFU3RZ8oSaL566ky9qwMcfXOelPtp2u/8I+
a6OjmPfLnr7trQwzOxwYbI38/tJd5vafvQmzgO7Y5+ztsBVBmQkazHnCnS4M1a/HCTegikWyzUR+
1eRxujVNtZsL6zyKwmjVCWvnD/xsY0XYWnPIl9R0MjKC7KEg3VQlmylzbh8SBwklarlYEo+5bVV/
oLcSbdXU38FcI2yr6SFPEns3mvOlMaLttHE6AKORn0RufDJUjuluFPsqJwNJaggHntrRKH5dkPYc
3co5c825xOpRvsOveYpdXBrIT3d431gCNW62Vz1aL3dewwy3ACV9ueEtBtrLIvksyKG+lmkVye0M
IGda2w5MDNbJGWuiyZBRu7dUUwa6q7bCU0s7sByPeW7DlUIw10NxkJb5iXzvIbHRwuYKFOSU1cMD
y1P2Tpi6dcqoksXSNookyFLjYNbWXlAH3unUp3vNKw7OG5FpHx4gHKg37XXFu5HWaiSqqO3giKmA
bLU4EGmgf1sNZwCDqkBjwsIrT/y4HRIamSP17KRuS/y6Po8SPVy39YhrlIWh1YLXzIKha/dKdUtH
HLWMxN+GVL9KZUUkmY+sWWZX+MhOuaYd5jymBAFVje7AiWL4IfnkKFIQqUoBefTiJu6c3Vh1H1hx
1Br88ap06idiDsD+DrEFIbTT9hTSIC3rL7M9ZWs3R32Y8pfcuiVaRJt2f6xZauQYL1J0QDAXOvVY
VreKqSwCmbIfDAAkIsajSBcUJX5pt9UFVvlosCjbI1fLRTUINUmgWdW7XpSXU6WeZUUAN5msh67T
vfNaS63mbhmPIoSpcF8ZBU2n3z1grr4el983pv3EY1xO0aW1EPMjZFpcxj9jnNqWJUo4OdOVIkey
snbhcbytzkHzrLTX8rHeZAfgeqvwhP+wD9LdP3Vp/Ag/+PXlicmBUiCQ5vwMWpZhbw+a089Xg/ta
hwefCgJ/fNHo+fz77/PPXgeNUaeCS0dEXqTu759KfsczKxmH+UokZzEzNOKTHx2IePzD6/z49Pv6
/fDz5BkodPTlxXf9/es0jVXbvYh16pFO0rmsodbE1uPffy/WjwzNX1/ku2/mpxfpY11vjWz5oW3b
B/Y9m2Gvf/IChKjqHERUtLqRG7ki6bO/v/CCfHUxnCfbh3YTbq7To1rtGe7PuoD/Mai2/LN5+Puv
z1h+mD8+mdnRGrrvmhRtYpz76evL+3nGyKuLK4grF+G1vtHPxWN0NNQaexF47OOz2I3ri2ar9nSR
FSc2t9f0yW/V6leQ93+DpOA98deDJFbztyr/1P1xjlz+3G+KAOXU2CuXLIBDRltgf/xtVWORH7CF
bdo6msEXjNyvigBZ7AUgS7TA5FOEWZhPwLc5UmfEJIHCUPbNtPkvkgU/fpLYz3hLybXvCfoWDfZI
P5kvu54ed7ey1RX1qRHX/+mmanff/VD+5PD7Ooz++E7VbWxhhGBsw+FDS1D9+4+rQI1L06ytr0zF
yEaC0m45pGPTKM2rWCdztowUY3Y9V4njXcRx7D7JyDWyaw/cyjoG2WZwN6zX7Vgdmng8S8J845gJ
Na0CtxKMn2nKr0JbC/JKO0wtUKCmuu10nldTLDZz496MSbsPp4Z7MzVqZUILn201R61Wl5A13sht
vWphGPR1fUjz9ImNBF6DJIY41G48Iz+4McFwMcrPsnchcCUqyCFb75LGArvG42LV2WrfDCzAeze9
Bw/amO2ab+8pcvSD7vMkNUV9bMbygyR6jHwNp2kqPkIaqdl41TTe6VRuNa3c4nM/CztXBV65SJgK
PlPt6m9jWx5NSytw3pV3g4iOoWHcyxEKtJF0j1lBFi+e1HvrWMfJkuW2SWuiwqOietg1UTpCex1W
8lYmsD1cCyBsNJnnRcRDtWvN65xwHyz0/klLTW7s8LRswy1WntF9hnOJNSwxqpXbVFw2rJOrpIVu
Sy01FLx07+hgcjA2Resx7ctNUhvo4INHEzOZLFFUWDtxdVa9dmMrjaWAkd8RtgVU6GXPWiOtlaHq
g4+sdJF3ShAKzI6tlkD1FQ0twF50FnXvVHZsfXSjpFDG2hob7CN5+RjOg7UOG/glVSSO0utl0A3u
joLnd5rZKJGY5Alu3rvXQv3y0uSzV7DbjyxvDojU3rGV+2wlak2n9kfS4GAULTV8BkRcgepTEfwb
jPZNpKm+lktvL7eLA92f2BXhaCTestIzGRqstgOdp+nU/Jb9FVL0/RD17RqAIPb5WC7G2tto7JqA
JGW/LkMWDhadfQOk9HmhePteSlRzgPmDtjD6w2OmYydIJudzmvovQNF4tCnGHHOE0KPRZHleFjlI
rTSp15wr99HU3JaWXQPGpeE9d90grmLFm3V8GdJ8qZRs+o2n+Hm47vwMV4aRF847JL0PSyhnO0j9
PotyTBSlsRo1xIoh6jDXaZ87zXvWvAkVOovXNIxgmR5D1iMbl/SRsenMCSbNl2FJWZJ25pqfhs+t
q7mzI0XpJvgU7Id5dp/ppn+w5zG9ckx11zQGrPL6A6rCgXRxvsqr+pPoGjyzOOgQ9bH6ZYrskEzS
R8vqgtwJyfU6D6W/GXdTPKVnBczlRNNuZJ/6C5GejvQgLAjiDNQzau5YBdKvq3Wb2zAVef9GZs0g
ap5b5J7W7hKZdtt1zWcTnY2yocp9ij37I9HHZsWxRux3FtsCguMQTyfTs17p7jipLjlSu/cc9Va6
nDk3shQbsNc3lTAPSmg30+QGjhY9GBml66B6KqGffBUt+OKrqYjP57bbzrhvob9+wklC9bObBlnb
ZZsi1NYZPG23lYBzsSASgb5wCXLIJqNmlYUsFm61qnx2xqmnYSTVLqdOPhSJn21Co/1oYfoazfio
tR92zztxcNytaaVusQ5JjrAhDRURmrSfNG0DudF9cKNhBNkojXUaQRS1vbqrLzLTfCoqS7sdZ8C4
QxmhEKacW6ussuoJDM9s7rqpkmsvZ0/rmcVDRhUvAO8npfKHttGeWb2a13pvz1c88JqtzJvXxhCH
WJqfxtC7bGbIvrkfBWWBxc7GkBgkzUDVSgpCEDagfweXcjqPivg2iaI3rNDaWmW0rEtcLOTOOmbk
EhMspJ7n0uC3qOI76sTSwDe1Yz+0T72oZjyQZrENl3tPzde3GhKePWs/4wzotdwJWlgjl1pH4tRJ
8ZNOk682kQQozKe8fQz9tscT6BZ7Ps1e0ORdYDnDsB9Ep3bY5iqidtW0U6Uer4eccFvUYSfGH2jv
FeLyns6DK9Tem9aKF+fMLh2WIgMthGaNwX12xB1b6ScpxtvIls4BTeKp8lWFQj2HX7k5f9lD9cfx
UOcq6C1PXIPs4lLm8f1D18l7CGFG019VnsIrd5l6dw5ftY16TqHk3z/if5willEZkcwRJisP+DFM
5D++VttWYwdsSF154SbMHpppG2v/MO7+00ss//07nAzZxTxXfa6uaj6YYNVX8fBi1bf/j+/D97nA
MFvBrfnpRdoYcT4tlboy5V1D6YwG7Pnw9y/xx1/Loif+/hLLFeq776PDXhoJa1RXlndbNFtS1hum
kNJ9Tad/eKVl/v9x6vrxlZav5LtXyuPBLpyOb6ah7kiU+OiNY1/g6toMBenu+R/uZH+8+wkPxdO2
TJ3tF3GjH1+uI50+y04omjKeBOxK17mL4tNUPH35+f131xAoq3991zgU9YdMXvM/uWvw577dNQQX
ikVgwBnAhIYu/PtdQzjsGDGEcRiYhLeWxd+37SMXFNMEUkNjxDcG9jdbmPEL8jfJLIuGn68i+L+4
axAd++EtCQkHYA87TnIPUHb4FPx0TgCUkOWoNdP5aNa12IqM1PV57aL8ftbnGULhmiRlx9PdJCoy
7ysnA83KuJxygjlWdhMaGDg9jAd7KQZ3WpmO8R6xslmDx3lFZr6FflxcTRlSYzM7xta0AeNykWrP
K8f5HNceT9yC7Zko22SLL59EaptIwqOkc7E+22czJsqDVuZwYdCRymk9OgiFaRrJi5rwOE8T/4wV
fXZimV8Gba2mLcJ2vepABq5yJNw1ijExISJtF9YwHTM7OfOqLjwVSZ5tM81HDsBG4jFbO/kKfXLa
jj7wFHMBezfMeGuRuXXQjDwRG4/2bN3SnnNO79oZy6Mb93cQ/nSGHcy7mITrdeRP2oVMnXeYWFim
Klfs2B9+ntP0BScwRhJrEAWMcCLCtZVO9xjgQxIrMcxVk+aZOP3ootl4ZuwlHERcbTs4eRO4bY4D
hpYZMrd+6Z9w1IiNo3TtaNWjfmYnZbdLUJNXkeydMwlv1cuj9JabEMTh6U6rQR1VVmntdK+6dh2S
DCjgZHx1izVyxS1uzjBlW7qiy2jKtDMR9ximJhnbNHFHpLB0Mzt14SS6XVRoE2PyLKUjL2N+d4NB
MO98opWdzFcE8IM+U/4miJG+Ro7W8xuiaAaM3kPdTcadZvR5cjCGbD7KofQvE5w3DbhID2ERGq0Z
XvoYpzEuZ/7nQfjZmUGGjB7x+ZZVrhiD/06vL/6JRdb4m9OrnP7E0Lr8md9OLvsXx0IgwSwK8vWH
kKqgNsfX2aV5uukKFiK/n1xw+B1Ys3TDmDxzvOW8+3Zy2UAb0Bt+redZCsH+zcnl/CgGss8DHmku
X4PBV4Hg9tPD1KR/W0SD21Hn6QAxrfIkGKuCu+Q1CvxMLiDx43B2NhZ8rhgjzpCpjS06Q2DMMaaS
hu4pgTffeEkzgXohemvDSVKw7FdidBpKIe08NiELcLvjk2HlCbFrLUwHA0S+X5Uvs3R668rte1+W
gavXA5UStq3aERxSk7av7tzJecZwFboteYFRDn7LRTyWu7St/fO40eNDNEpn1Shl3TcVtAMPV1PT
V5m9srIUaaFRw4nikmlLspSW8Dzrb0i6qze9tO0a32kcvQ2WHLd5CyWe9XXFVbYCjq3Z1hYPYkwC
UiCMesqcroVr0IDTV+o8K111IbBcBZIUZQXMb+lLMeSrl1CtlXeEJ9YxEZxDbKfdnaEawhZxab97
c+7vhjhXKADsCrGL7WBUmTferFPQscRM8x48LyGoljhq15FddHSqDbHnbjO2o1urFnj+QZoujH6S
sfyaun0T6piiRM1y0Pdj48WcoaPH8wyKNDN64y3jjnjqmzY6TFR8PZl2awYMiuxZ6aIOZq/oL/s+
e+dHWh4a3xG3ok30fJ2yFD63FDkxmz6kiwmoQxBNdnJhJ2278/1cbtLZ9y7mhptC0ZTcSCZIGDFl
Ze9kLPIzfGrtQ19AAm79tGT1nxjntLvn5D7jNiMZGSKrjI1zjSCgbTn72ivQNXVA7KE6IcYPp7bN
jgSQZpZFmrdt7Gn8rKw433t1ER3HKrH42lJXO09CR2d727IEhdGOdNVxhDeTV+7qiGgmqNZ5NdqS
CW42/PCYS815QNZ4xABtnBmaV1/y5YdbLWPF11YGCS0p9ctpjll4QVA4RAmhG2oTUq7b9XQTS08F
0NiazZT04yYa5nDb4tKO/jtZv7JtbIaovz5Znynw+ONMuPyZbyfr4kjDig87hqi/by3i62/6M440
pjFUYNdZyNycx99mwgVfY3MUkwcgQIdz6PeTFZyAgK/tMcB5iyPgX4G5oYD/NBPyF7ArMhlKoZUC
Z+aL+P6a0kmVluSNxsu6C0ECenR+hPKuM4DYpsbUBSw5Kii5Ir80uqK4bftQ7sEr9vt+DgUBYurU
4XYtsWPzwmTW23Q51oDJTWkGcMCy8OE4xc3w5veKJp4Jn2/W5OOVH0UMa0Xprn1AdHcW/YZS7+l3
J7o3JHF1CfgGJ7cqoxs821g/Wa3x7g0xFQhxXxCm3Oe52e9SwCIsow7m5CEp9jSrWqkROAPZuDyh
ONJy/BdNd9TeV95DORvJPfno6jzmobDtQIKttazkDOdHcJkIGDPj/7F3XsuRG2m3fZX/BaCATQC3
KG/Iomk2zQ2C7CbhvU08/VlJTWtaGkkRinOruRrNqOiqkObbe6+t9/6+wbJ+iSYTu3HhF/upBrKd
R5a/r8ulB4PiPlWcPRmxpnlQDsV5aOQu87XnyTEQPathBXyQlGkMf2WwycFH+saMxmPWaiesal/5
a15RbcaQta+YPQsOX2UWvzij/ToLfLjEDB6jJntsnRKscRxNBKqT+97umEblGo6+kmoIEUX7bCH8
r4ni3Yo4o6HKH0XLwbFfSix68Bm3veZE2zgkOls6yzNvNAufqO+ZiFzbuXzzlmRvhXnNb2J9D2V3
QzpqPGPXagOMyTquLO+arD7Hv3C5dire0h6TfiOnm6yw3kyrfcRf9k0LyZZXcXzM8vkiJlyBbm30
WO2RGrTJPHBVclYUJ0KujPwLN1cg5oW9F8S+sE1QVUGzNX7b+LmOllvbtk9pQx5AmxctoLEDZ2NI
gE14TeZdLKmn1puOWVMe3J4IrBtHJzpsFghCtF+uc3JeDPacd41Fm/A7I2xNEjpBYA/91LnSx5zi
MSh+roMowPD0DKEXFPM4pkGoQOCRQoJL2OCegoTTaGHetQ41YaPH+dmGJd6YtY2sAV48IRO/qSCO
6wo9LrKFP7LCkdNvD/FaIconHvCVzifVgl6eK4z5mNiH2eNkUCvEealg57Dh9obCn7cKhE5FUqEi
vbhNgKRb0NKlNPfY7pxD5jhfWnjqpgKruxDW8Tpds11y5qeQNSgUhh2380HzALO7TAqDWcHaa4Vt
n1skfQVyD3vnrCewlnwFedfJBrf5APYd/jtARpLUVcK7BBo+t546I7xoUwSFDd4Sm+uu/8TJ+wVm
GswTQSSZ64Ocj0HPexxoesWir2t35g9bvNRxd5xdxIVMc5FnE8O4YBVUrkotvkuTJjqWNjIFXKfr
scGEmfpiY0qfjEM58jmnDgga23wrDXA9sqmzI2MUD5OkGe71prc3XlfZOxmRUdW1piOoUp6iWHc3
MhqsYyei5dikhrazq0bfVE19K0hNbJdMHjU9eqq1wrox0wSLFBGag8buvIppltGsaRXNUbgRaf3c
uGn0AZxKQUUH+9ZN0/clXXoshr7Vt8G/N5PPm4nSzf96/7x+H1+/v/7vDqpe9dsOqhRXhFudHRIZ
12Sy9dsOSn0YQTdSdTZCgKswvz92UP8XhhxkCAQ7rKte/t8dlByezsaqSMRIrkwZ/8HVhEnN/2yg
OCDI+8HQIbrHT/H7DTQckpqMRCIvSXljSfBiZignOin9h3kxp0CXGF99szxzoL5DznnDAKatXG0B
aBHndEQAlgjc3qfL0b8w26vI94g3H6EpH/yvy9I8AJz4GOj4bTTAKInvPud1UZNgFqqLbNnpZnGu
IMDQDDD6JPas60lvYli8uqoKzL6KSCxbqxKMXcJmxfNDM6LpPGU5NHm5vGmhV1L04O8Rqh6ypL9p
ffs68UJFCWFEms0PVTVjcBh7Ms0qgK11J8NLsZ6VABTnit+ZxBrVQMxLDoMXb/G9hyp5vy1j7ZGM
+gpbSkDE/zr3IoKD8FFKlwhsWHZow1ScshYwa8k9NYQJGJx9r/zkQo+oAJTTSABaxToZSRQZdbda
mpmaidRi5g9bL4hKLd34mvNcLBmYVMYsMFz1/OhCjFg3k0HDITgt7GeA9qZxndu+s/ZR1IC8LtxJ
hnshAWgsrfMVEbzJVlHCOum7AwsgYI8KZxjzp255MKaJhM7owTxZO0SOVONqP8IVkARGsE5Gub3m
hsQAaGTeJIBmdHKn5/N+mUaSfB3VxGkU7WbdHlfu52bkGA+2Cya9cO33mo0p1zs/GLEaYlqOCb7x
wYnD4aEvy5ckf29D58jyXAWO3dEcOpzmFq6xSEvcUrq2YeXiGusSW9TBAmSSZqBYf5Q2Lds1mnjh
yNcGP/oDcbi7qLAp0iBRUE+HwZx3c5qG+8QJLZqowj08u2oVNdZJDpkR+FrtHqQmuYoU3ldtbL1A
NNp28k0wCyPbY4J8Hk6HxXeyQK9qgY5Srv2RzraxqXdJgvLMHPGmNMOtNThbdasK2nb4uuT5Y+6Y
HwT5i4AehSfmVGco2A+Uaj1HRXtDEDpZzb23z0paJVu69jDy7xlEuivA0Jty7o/F4PJpTpensZcq
9vfay2SDAeLkp8kaws4zrKB+HVoTIXWdzHfeKnZT+xB3hODrwe740bJTBrmlXhDZeve58dFAGahd
tSBkl5jpmQXbVmrzDn/7qhiGF/Agd2ZebV2cbBaxubnWSfaJxTzDRYUmLEo6rEfa3KJtVn7PmEkO
I1yoTuFMEsUvoSB7XTngr4Wz9nSiUf5EAqJ3uycmn/Q6CfO1oEIclSjrVyCcjwbwwGAc5RexkJma
Kzh0Vut+Kcvo5DX68+LFV3Ra3lrIcTSgwJVp/O8Ar/aFT0pTuM1hHAo+gOGXPF3mTZia704KlJIT
6Bc+xk9uj6OWwCr+W3Hb+dZ3n76oTapNN1UIaanoDCT+yETUDksnyAVFfV7fGoiHc86c17/LMtaV
mJHeIRxjfQOeYNqWwn+bw/41y5ub0MCLHLp0DsNvCVeFbHzaQ5xT7XX2zWJ5O+gEcXkbjk16X5cG
TBwgEVEGk6WqztQdvhmlcRzAA+6L0Nc2fWZeA65Kg47jxVbmXgnTu38HhbRsBjfO1q1StLHX0p/R
4/Rg4IWk6yDYh3Z7XgwSlqYBFQlRNO7vWkzFmI6tg1jsawySp6rgt0yyZg1VjOzaotlrGUXrNC6G
FUP6f6/Mv16ZDe64f73ln97b8n83fPWaHxu+4SJ7CDx1wgUO8jlx/G3D13/BdQ/0FfSdII/105WZ
ieOnj8qAB8voUVmpfgwjbYaR3L51SjeEwUXxnxHz+Ml+EvYctnokXUNVf3BrJ1CmZpU/CXuuUUdc
FZb+2u0oU87IwZK8jc187Ta2v3NH77ULo2nb1A7OZRCftnYsOm+A0OQmZvqcmJCcLnFYDWDhwVbT
qTOk9HjWmjO4NzXulOmmnOrr2sqSL6BXiDbGVN0Rrlw65vxx+mLlDnPPElJmrYeMOCMkbFCXVBwm
a9Ne4m3/OeBpnLkdIM9rBTFbo3fz7rmISbBSmE2GE4qLNYgu6bZmSTfcsSjo0r6PFvQAjFWsFECk
o3bnW5G+TlxwMfNIq2NbTelOy2SzmRqOCGMmjM00N5xC6Mz+SgBpMPaZL8WysbpBRmtp+qw7+QBH
BqFJVY6Udq2BvaoXcTVItpt1bVbiPhGCShzivnBlSknxYh1n/X1m5YTJ2enzy2yK2Nw1Lv8sI4qW
l8n2Sb4RtE3bYI4r9wDjztI3/57Kf9ULGNX/zSOalFH3J88oL/rtGYW97NoOz6IhALcpVeCnZxTw
vi7wIlAMokT8H2dyQW8v/3GRBrz/1OL8eESVXsBT65pIpy466T/SC1xlrviv9q4eUc7pEDd9FC1q
RWz1CP/0iBqhpTrQXOc6XjSrfTD9GO7wqpSFsY6B+8K5SDszueq8zCLwJ+Zmp0/5ra5ZKx9wXAHw
au6TVe/qdBdIT3TNoahaiOruCENgcDoeqI72G/ovoSYxIlyy2wp6ZQ3Fkrz5yzyZXNEt61qKslnb
JchL7tCkQJr4rXJjEZgKjIkgHFOoSXsWzExMipzUzEyuJ3iasRE+MeKGsElVPRGN/JO8meUVEE6F
4xwdNrpqHfNVxaoaZF9e2ZoUewnVILGTEBxAPm30nuxOWI71G+ekl2ikfrcXRchJutx2M967qkj3
TartE1jQwdyWb7rVpoz5CQSCenpIIu2beVWX8qqyYSJYLn+enOq8MA+/GI13W1T6xpdUgiy3Ri8e
prF7pI5jY4N586/+fRB/fRD/drx8fs3e/+Q55DU/nkPT/MXC8Yu049E4xT33p+fQ+oXnkgeK6Bg3
058tB1yOufjqLpM3AOmfz+iPB9H7RaDbsbG5hirk+WdFPPT6/PFJVGsAT6OHk58x+B+jAojtrMpN
6VyyMWdUFxVNeD/PWdnsCaBmu0l16UnVqtfg2SPnnx/sFjOoo7r3shD/aqH6+CaiOySFc0/fzoNM
A1tN7SzGd56a401qokfFyFFTM77PC9ac61tRAOfAILb1F49j74gZTUKmDT/HhYLBYQkLmZnoVvuE
IytMMoEttGrAyblCKHcKpjwBJ8uhKy+YGCczumsUdllXAObOxHFZwmTuF+Pa7/x3QLVQ1r3L0ngH
Ru33sE53GkxnTcGdy5ARG7TnVmGfoZhTJR2tPHjQhek8RAmAaAb+MVKgVSNqRc/MzQ+WV29SPXyG
qfg6KMy0HBvSvT3oaei1AJ1JHKPMEq7myhK4kKobhazOWvNEBPi6Ya4P7ye6aqBbt1CuGQx/ED1z
AClWq6WamKyF9ZFeBXdVVP3egZVNtQopPeDZPqXAm8zETl0D1rZceVwgbXttfCsVejvu08OgYNyN
wnL7kmVQgbprhexOYXcjJD5nnFCQy6qVY7XLNpI5EbM6/tYp9LdUEPDSkDtoP8dc4cFpI74uFTB8
UujwpG2/1mFsb6z2Y1BwcaEw47gNcHA4tEu7xoemUOT46i+NgpMvClM+wiv3FLhcg2AOoec2JxpG
CJvYMJ2EaQ/s3IlKrvUKgC7L5ehBRHcRGTepgqTjX3y2oaYD/H2Z9eW2waY4tsbzVMOAbOGsk36E
tzplkDO69Lpw5T4j8A0xUeHZ4bQz24UfaTgYGupom8Jyl3GL/And3YXyLjlWMulsFa8lEd3biKHr
jIzM8L4Y6AnsMe/n68mRtFFjuNhznZoZgzrJgKm0aCXyiOeSxqINhHfKdLHkNvS9A/DnL76UzCuS
kMhL2dNyqEFCDMIMhj/bSLyXo35ZeBhupZe6u0zzgG0wPA7Yqo6WlVoMt/3AanjNktTahXEFNSOz
Xm0sPm3MphsrCzJD6hvSjPMBfzIzHYbFR8+bF868zrSB2dgzGQdrq4/jdgLs6OnRBRYn9krTuLIG
WrqpSLyVnUvtUp5eN6Km/dx4RI2X962hZc+lQXTNbABxWFg/jLClSJOEeNAKKwOPFwWjDR9oLmmy
tNDWA4/8xq4wIfe7JQE+YxrG68K2SddVgK40eZWZzGJ8nNU0oRIdZSaGYb97aweuy1bNzdpqD6Wg
Wtt2vKNGLdnRiJhEVaodGnph+2Jypg+ASk9UzozMN9RGWcYuaMuirbdanUNFRin51hjmU1oUIR3X
/LtTO3m7ciGjmGW5s6sK7u6dluqcl5uKehP1/oZcnBc7PDV+vMun6TrhiVpNJHtTv72NJ35rpvNb
I6pOhrR2SUH1Q+WDvEuXFmXa91Zz7GLU8gbeIVp2wFFuoXHLbVEWt7GT2NC64NzCBj550RAx79F3
iZM962O7G7TunjnFSD6s5fZOJLA0sqtuaCN6r9D9oInuwrrei6H7iKyQmRebxxqGDw8sjmjzypuL
L0WX5mc/HpnuJB1uI2gyReVQQQ0iCifBI0cfoq/1aQi997kyKUavimOfTWjQxrxzQdv+e0L4PCGo
LfWvj+r3r+X/nYek+7/LG3fFP9Gi1ct/HBbA1tmuyejbNzEnf/p1fju0G5wj8NawR2OwwSL431O7
uljzGtyl7OIcCDjq/zgs2L94WIaYwHMD+ATh/ZNROl/n94d2dUd30MhNvh7XdI4yPx/aW1O5PYQb
EaOIgs48JXb8q8jyl55s+w+9gB67Abo5X4jcPl5Mfqnff48CGJVf53K+jjL3UMYDOGHTTNutW8yY
ImcxsZJw/VwUFE1oNXdSo/ecexNeY7X2el9cua3rd4cyCpuroaWkjMGgutzC2tXnjf156dVrg3kU
A69NVU96vc/iotjAhNd3s7oqtxWFIBMDkB1ngWbTqSu1JWrkw1HcpOqqrdRBisS4fic05ZrKIJ9q
u/Lzhl62S/xBrn+EvJuEjKW9jhGwn0vbRNzN+aeNUdsFZA670K17mGzQpOtmbm77mZ8iaZbtwg6F
vho/WbVxiqkdCfQcxEvmE4Mdm90IxHgahBG4vXY9xONXJ7O+kHi+b7PlHJXjV+EgznmCpSxLbNCh
9iaym3McpwcjirIDI79kHc3iRJsWS3QBESyqmBjPeqCHSbBU8tg6YITB7K/y3BXMdptLm4h075fx
eZj1N1o55CmuicHbHNagxxrvcV7la0nBoqwEvd0+k2SY0sW2n2dnRzfpcqJs6zSG2m6mWKvXkmhH
D0e7TiwOHUuNlJ1cFZNjbUIgYHDg692ytAca3e5ip8l3aUmFTaRlh5YytyACm1Z2M/nSuLgHZXGK
LQI8mtTFNzlm3Uq2JKoZUG3nmo8qifENQZkogBqyLsbwMNfN1WRz9zJSHJwZAG9EbxTmKHXuHRth
1pppQetKho1l6JvrIgRPpcv+qhGjhqW0PYzZLHdVrr9D1PluwPzatbkoTpZfqOAKrtbbGtIySSkF
QjaYM3Oa145+lhq7ztO/ZVpMRZF23RvuQx9ruzzmHusx2Q0zgDqWcWaefzuWDE/xSqRtuOkMjTg+
1eDk+Ol66M11Y/GHd0p33+njo6GGz7UTrdm/X3B1XFU6YPuEjL2T6zcLX3Q0yiswEuxoxm6otVez
o09dmw+VvZwtECq++3UOXypvObrQI7ZOGm1a13loUMFicD0jU3CSR/0JIu7ZMeVNFBIBtMjycISB
cxqZnIGFv24n4wzei2Yc+0JjrKSWZxUv7N/O0mzdWPvizd2DDUd2jjJogjHxn5FtnqMQAZoxOYHq
P3CLwtAwGl9rLf7iecWDVlfBUk5bN6o/THc+Nr52nDn+cf4XiMj+LifMAVuvA6BhMFAb7P7OntIj
v9/JITtvDRo9gFaeUGDXkgSyao6G9pztZ60wn3HcuU8dNJ8WWIMMHzAAZ3czLsFgngFCEnlvkV76
eN1oWUbVJreCGGhO0Jiavp54LM4jhMNripY0aqbbMYQ0Wwv1hDGaBOzk9yNmhdB7g6gXUWIgvmqd
KTZjJ67DGIYP9g6KSm2fqqSYM9woCfRgUYP9Zzp3va5DfGimhnpHQM6GkWJQgXRYZxMcAYzgY92h
Zfj2kxD3Ke/8Go7hsnZVHtKzcnEV1jF/7IWDHFVxb3aU4oQAGckj5/MeOV90Sin4O8psF8nonBYw
DGUW3mZ99TbM/ioNUeZSBNJQ0+9RP54tq37phoxsXrof0/7DbacL0850GxG9CxBznrmmbWPhvlRS
wzzQgcQ0yJWGdAcFfVd6QerKcxfSmwHKI83dTdqY38lhzLu6cdZpOT7D0dw5dk8zXzK8dL29rVve
5mxiZuI+4kz/6gzlo2MQzvfn9H7O5bn0p33fYGXXpvQxiuUhmXhE5/lqDAsM0mHJ+inu+n65OJ14
nmPnugIz7tnj47RQYzVVwJeWcTvaIBpnkCm8G5sSeAhuxC7wU7GzU5JyMzE6zvfJIermeBNbJRcW
R9wbC+9alxvce0r3CwLjsbcoTcH2CPIkPjVhBQIG6Tmh63FfpdGjIxtuhXq7dwprw3IDy2S+skp+
e/o9zh7dDW0WHemJfPbrcR0u1ar2MjB/iG2wXRhrFaRECeR62tqhSGTIF/pWhvBV77Mjf+t1snAn
8U0fCqe87YjQ4v/ujqmu7VtHvIQ6VlWZB7S03oe2u/Y8Z2HYxLWnSOIb3Z4/Qn1yArmUL7SZcNpf
kivws7smbL7Q9bFwe6n2Y4SvyfMLeSbxRKmTCYUqeRHcoHWizNjLq35bFrrBsdOebkhHcRVoIwvQ
VPtENCzaarp3oWMJHHrZNKpAnqb1eC62jhDfkhxFudEj7WmqBZ8XrGQbulvDwAJ5+J25n7s2LQbl
60maVxTOhh8/nc9ufp1C/gyjYFjz0zFHHUF8uEWm4BTCMZ0hy++PIEbmgJMpQ+06TR+Q5zP/zXZ2
/3/fQp20fhp/Sj7FIhv4FnoDTte9DPWF9Offf4/f+wZ//BoUG3E2pOPc+sOvYZqDLCY/iS5MTlkc
L0t/nucvmrb++2/z+0nur98G+yOkBcIk+Cz+4K6IqlRabjZGlwFrbQN7vzN5DpuHwb6ZRgOlvIXu
+C+Y6z/CHG/iX18lzq9d9/5n0hyv+ukG4SufiwXIhFu7Oj//fINQ/zO+GsJFP0tz0BSYTqoSLB3e
AmljTvY/bhD+L7yngq/IzBFxAHPPPzDjGKp3/KeHi8E/H0aT6jnlFtJtyt1+/8kfB39mOxfTRTJG
dzfxGLIjUYYhsYMn2DbM8NQvGUuFTMcx+2oMBrssimLSH+ol0YN5FEt27kilLpt0Nnsqs6e6rHCi
ljwE37ggEMzPa2rsqKJrmZbg6d/Pwoj8D18vjP5edh0YARYRO1yHclkwjtbVpEwimlK/GhGZC+jp
bAIqvFSGTVBviGZjU5hRu2xs1yioJvY+neUZRyk9g8PbjpHtPOQGpOktdNkDCiKHmlLY/b6mzno/
W3JIPybLm7dRij9/E0UpuUbgafo+pubkiMcnf0vCUqx9UEdaIGs5brS8FaSuEkZ9MZ4TveAUg67g
vI0OEYFlKYgb61KLmfNAXnRk/CEmDfhX6X0wNLWxxkbFxq35/0D4gBQbB1j4bjWd4gj6tqfmM1FS
mAFhLhhCrYa64LoZA58+o3SKRFDQUmaMmsLGashE3+NbZKQJefDV8JTxfqmiY91q+Y0t8zgAkunv
vLp8z9zF2Vm5FWGNHe1dV/XJRu8gUtG4TQeXM+Q3mQ4CoPHpaqpHMyiaZtp4GhTqyLPeY9D8e+QT
PhYj9quCq8uGGxlOFaG91RlcdLHkw4pBnbeL2/bDncJwV5tMW92CGTJHMri6OV7HXVUV3REGe7o2
tTi94memrp0OzWM2jatkSOlmAYUVOO4kb30/dHaTXxWbTkG3qTujvqW1vWAaQloPlpYf07Oe8jLj
XtNQDN22ts6phkYd+ucB+dZ0QwyEmHe0qTW3UAeIbkVTf+smDDcXaTQQMyREACIBVK3r/rzpxooS
JnCJm9lwB0o6gPOGc5ntjZz6BBTeYv+5WvwbDVU4qb9eNq9e26Su/qzgVr3up4XTUnoLKyO6KXGm
nxZO/RcCuxaZI7WiupwXfuilLk1/CKy/xahY7X6smy5LKskAnzipzfaI8/EfrJufbsjfr5vstIRM
yYdaNNwi6P5+3UxbLTPdxYwvhc5QEnt877zMhh57NGdgNrqpKNk+LkMjXkRsT+3e10om8dOsgfNa
3O6rH9vVve8nzrJKrWGi/KJ0+8fOoph2UGVrGxGnzIET7etscoKbo8Ve5aaZrcxZ3HiEXwZQ08NI
ZjmXr1O0vALHtYNkvhOdV1BdpO/MvEgupmTmaWRiM4/gYrT2iJ+BuGenrjMttTZgwF+zpqWHgBEs
ZuFIVYSUGLYXL8f57qlyj1kVPHmBM/gHO2rbYJxgZxTizh6duwIO3jqz3O8ynK8XzpS42YzXpmzu
a8t8iT0OrFXYYnEq04GKqIVixMQvVtVYJSthO3epcM908z6ZBWlTUeZnqBinIc64zoUmHVOdS7is
jZjgT7W3qpfsDqMciYSlvrLaUV1Doaa1SkhpYcrQ16Vm7zkyR2/NMY7LKD+XrCGLWz8xdBpXnQG1
cNDb96VrJZPuOccXPexz4IE6wQWDgvbadVM60P0VI4qZ3KtJja66Y6b8DbBw4HfG17hPSv6bPc4D
5ubqaxln32nivvVsHN51/s3I4i+iAtva96l9ptvvgEZwm9R0SY2OG9OVq4Ym5JgipRFXuX0XC/HF
bgmeRo77XVTlaZHWXS09yoZ1KulKLKBBPVYpZXvzqUyMVa9PiDRVucsTDQO5PdAph00R0eBrKrp8
LcSUgOxNNqIG/+0IKFsTCYpY97Z2447Xg2rucmXnYeGzDz22tK9e4cwYwobbZWR071jxdQkAhBYa
iudSOTy0Mn0Lxwk+ZAz21rH1LZ23j8L0ntwwWpmt8Ur7csJ4hx9DH+80SawrXC55RgdjYm798IYP
a0XOeDjnfnazSPGSCL/YlpA1tu0MSd/GnIbVRZ56wcfOcNJzZTJGRDrgOOA9akwsAtBFycpI53Cl
tYq8kl07dXGhKvEE0Olm7DyaOZSAFbn2VrOaF5sjduyYzBEYPYnKPdajuMhksjgQDCfND7dcnmiX
D7svKD1vdNNdEV18N8PiS9e7B4PhXjrCKdTpX1v1ud/Rr8b7wHbwPTcmHrGFvdCbcwb+pbjwyxOC
meKnhnhCYOjFxQyNm4bEYeNnb5pGBy9Q0QDrHRKWVdwovgKt7vHJLfryES51G+QSfrCml/lJg4lB
KgbCS4hevXKL4pXNNdv0Mr81uvApp3pvxXCaw5Jv731vOedlfzUYGekR+3kSxWtvGXRf8U0n8zat
k3Ue+oeYMh94xzsbIKFVE/MGT3U1OMKmbAp/oMzKtW2qkCXZHOnER3/orVNitOVtB9OHkMJoAINc
SqrYTAuUKS7QvZF6j0NR5uznBZdLqjC6bZPr/Y5CCaaHZYVtabbNm1na5AkS4zrmwVrxnjugJEA7
OCOeMNG78+PSkGBqDSM/pdzydz1/gs2Ua/neQJ8KSOG7FuPGMNKDUfQxg0uLY5gZ860lifetlobZ
v0mDX283SjD4m236vfxefUv+rK1XvfDHPo2fAnMfvZOmDcoBReKnfdr+BY4krhzAv2QRfK6i/9mo
bZVQUJ0/PpcAEywx144fGzXpaee/FLl/sEmjUfzucgPmRXcsE7kF+5Tjw3n5w5XbZTbocU/QLoZG
JXnPqqnby3s4xaCvHUp2B0vfOka6bWVU5Azc6/bOpyX31nRV9Tr+gNK9iyJQ1yj80loPndE+hl7i
ym+Oxrop6N9gtoI4mTZKsDS9ZRd1DFHoGbF3xAgx2ilhkxHJvBlrzd+2qJ7oC/q3qEEIbcy53lZK
HJ0GZFqGOCwdFf+upUTUITPbl/pTWFUS6wIe5TiV7jFNAa1N3GqcmMtChzI7mHTqziZPhBJtcyXf
5ui4HnquVMJu4TobFojx2lOib9EyS/aVENxKXAhSicMttm78CBEBKhBNHht1YCoxebGmtdnP3U1K
2Z5qcMif2fzkvWE8Jjac3U7LrkkmxWuBTk3UhwQWyjWZM3zuLI3URXzrEnrnPIi4dk/XqqeEb1dJ
4DDjkmP5KYsrgTyT6DDdp2rOgHdiQUVKZ8SqZtHI6+DbqJhAcac81lr19Kc1SozPxmq+XZRAX3Z2
djuj2VdKvPeVjM+IlBdly5Js2QKwk6wsKmpoREP7b5ULYPk0BMyz7a27T5tAGmMQC7CRhfdUL9e7
kUJhkoi+Wx7KdhxZzBDwQ6F5V4k9keLu/RDMLC8urwwmfrfGED/nMaPJuBSvUVs4wQSYYgPL8Dkz
+ojWlvqDY0ax6rXonIcxyLpUXnI9q6DhFR/x4iAjRP2FMT3+eVI0K7v1MqJnGSOcURzasXGPpkN7
yZjK+zhF8yY5trORy3Z+662M2aEiyJbKApsMmOucoDcHJKR2nEz7anRq7ch0CNsG18Eb55Nq2OpS
5Q5nx1qZHSlwIpr9GT8aehoftAt3IrFtG6c5CZtFXKuqXYXFFq7XMuygDLzko7vu9Zn2Fuwlx2mm
7y8fI2Pr2KFH+XSx1Qr/OwX1Z5EWt9UwPISaddXVrjkEplZf09YsD6byskbVstccZmNF7+RfdPqM
Np733qMZJLmLtumeZVz5GzeNd80sN4IiPH7niyfLs0N8bhm1EzDXcxFTJpkMTnhVenW3Lqi53w5x
dB/LOQLGmB/adNxnDW+SF3MWUARtLXXDwMy814jSq6AXyWUeK+B2JZux1o8FpA6KM0V+IJiz8dr2
tSDYMVUEFivvQ9DBMPTFllP9FoDXSh878Kmmfld30zqmCsWFfOBPBOcMchdx78TcAvIHL9cvHNoe
gNt5fEj9SlxCBknH0Fs+6sa4A1l+cCF6WSihDOMtGAOIJ1q2YgzzGgtrJ9pxQ04Gwprj3XRZeedV
5nc/4xkucuu99+WdrVFcSNfNlUTC1DJ7VfMeF+mAB8gglAuhe6QtNMjD4hs34S/kUJHFsvTQDvHN
Us2XgrQhZqhDOFd7t6hWLKQcLBz9lgZbivvkylzkoQyHNQFKCMfajsPinuD2Cvz/XnTzVnP0mZUo
+SY8VUhe7zVsOVlM5LCuLmWte7QyVDugE2mQDtGN2eMSGaP9rHvrotLOpDhILCSvzWCigcyrhkeE
GdsqbI01LHuimfl7m79X4XBHCSOfSJ06YFCEEyXXjbvuqDUAyUtDYosqSj8hAKuuF1uuLWsnmu/s
2VchD3NNLSN+jEnfFXa78kPSuwDumELoWybqH7JJrlnhthIuX0clsfDwL0VdfLAMBklL+6QbPUcs
716I+smLCQzRrjQU30tZvzc6ADPmMIFrJVvoN9supNc2sjcUwgP5i28twDbVaN1x2PwwNHq5WyRf
2D61ru81f9x7nbbV4/w+pbewJwLF1SZwYb4Fwqk3oQZEQR+2PIrXne9tDas7WiES8dxsUJFmrj/d
umpQW7jAfqMo/okvZVMfbq1lZ9crniTIOfG0Avfx2pXdqvS0E0idw6K5m4pkUTC2GWA0Ngl0sYZa
SonoKNyd2VPBOJQvPd46SeLJdaHdxXjcqr7dlyRv9bngaub4OzAaALT1x6pN7yrN2IX2zGmT8Lnh
b6Ky37u9w6fTxZ473uLGP9Ugz0dtuM8Td+/N4SW0lkNpF0di7FdxRedbOUDey2kJDnUKZSdokd5t
Sjsb9qfnWiB4k4lfmb73ELbkc9ruUnbOHU4xPQC7cT/AKx/rqgTDzr3t/7F3HttxI2uXfZeeoxa8
GfQkkZaZyUx6M8GiJApAwAS8e/reYLWqSF5d6a9/XMNrJAhImIjznbOPlR5SKwQCUaqLPg2P1fyi
muTjmDR7vbKoEAaZ2fTsz3u/7mdVN98HRX5XFeOFpsu9otOZSYtqQDtYDAMe6cif9OaiUukg74kX
4qRUFPGN6pM70WTOTofJuCBg80RRKjs2hpcSx2CsfbMzWONN+ZhU0Y7hzIn3LRJdlWy0vt5bE91y
GrW4/qRqT5FVF2vPSG6zqoGGMtDPYmhnkbiC3WxBpIGuFxTnbZDYfq8r2SpmXtXVle+EPU16o75M
UrGyovw8hPZGBMPFkI/fCqVYKfSWNuBdZhs1TwDZedE5K3KUzEGV3Keym8l862cpHwnMnttOcb91
HSG1WN1AmlmDo1zlEoZtVgsYB8O0HrJ8PzbhvmqsWwnUHUdg4ec1+7M4oQWwVy7oauNeT3lO8axp
cpcqzXFCIqmr4mvrVqtQ0G4SpAwOTRprM5XP37sl7e9nS28rRMQd8rAGARi0x48yTtNXFeaLXDmp
2TamDk8m1wpz018fZB65/G2u/3MZamBP0VQybi6lax8PEiuZaoP4V06D+6XqN337NEh8YlgffufX
+dmC9/2RPg1/ZCBHDcqEctLBEptslxwio9NO2veifY6pQfj1iX2azP159XiaLFNnM0i85+OJ6a4k
jZ7K8Nwpz027L2mgTL/++hA/OyNWyyyWOYxBOOHjIQIbT6VH99wZdq7oN+04rlKKFbNwE8PF0Zvf
QCh/ckZwR9i04JtC1fs8a+xoctdHtYnPBD4WsYGEPJuLfnNOH31bb/fDh4N8mjbWgdJYdsBBBGpa
Ux2EF/1mCPi705j/93fzTHKxSCC4Ws9VcbSBFyTyNnDi3xzk06Rx/vU/nMann6ZISIx0WR2fB8VY
RJbvxXTgMZ93nmgxtOuT3ta/OeLPTgsbN0ZdLPIWM7WPp5XEbhbnQovPTnnFQNovIF3/w2nz21kx
ebNNm5kz8vKnSxdYhmK7XSXORHtXGfXD2Ar69O7Xd/XPLh0EQw/1WIMi4306iOwjx4ljRsxV8ZTb
h4idouBl4FFt2O5NJhd9cPXrI8731Kd3EK+4v4/46ceKoOJVhTaKszpACakfSDn85mWgffx15mmk
pTnMK3UE8bnm59PLB7wEY7FBy87iUO2gSfvtESf7yrqKri0f0vYacu7612f18ZB/Pknvz+rTIWGX
ZQOTHnHubJpL0B51Mm663P76KD+/dgj9Kl9Oy55hRe+fJnvSbKfJVHEOSs/Xtf0MZPn1Eear//nX
MbX5bsPs4Difb+yCbJU2Yng+Y98hP6Wz2nyOTVpkhPjNufzsir0/kvHxXNgRywpJU5w16zVyr6zg
ppx+83r7+SEIslHExJPkfLrVYi3pXJPC23OenyxwRwPWQ721f/NR/dkjxM3211E+/fRJ1eH6wj15
jpOvqbINDGVVmWsraf2kOSu0/Fq/+Y3+47SYkDsOU/LZuqtRYfXxysEWc4rMkem56TZl9dzbq3K6
/vVt8B832qdDoKW9v9FyIOu0vJfpuZ8oklJIgwrrN5ft54cwXJ4aFjzobB8PIYYBRyQ7rXOdflWm
HUOC3xzgP25lzgGIocVzgvCmf2754NXp9Fo+ZWfWeVlrMTfZxVjNcu/17Vr9Ozw1udP/uyp7gxL4
WiG/8vVuxt23//t//tRy5z/1lyRLGQfcj9kvRVnHW1jtnecExrY2F2niBEOb/UuSNTwwaTyyuNIR
caFJ88O+k2RZeqkzNwald3aq/ANZFt4M99jfbzs8J3TN8Wm12KzjPwEF8/Ee7PRcb0rFG0985eu1
qqT5qoZ5S17GoNmJEm4xWJBBLEXxrSAvCLNRTJ5ZG8tNukU9793iSLUOQz6U9ALolN8CfqASDv77
aBDP1hqPLmBUvoFh4ZVOQGmB9UPZZ2NobWohH71JEz7qxNe8xDRANP0qi3EFBj2WaaWYaUoh/iw3
Ja0mO9omCzZfsaQjgH4H6injkGhspl8lhpLuOjhSDI8s9muRtQXmD9zRCOqdlrSYKz07t/y4SK4J
IL32SXkjAZ4U2VykiX1iJwZluAgRIAjFeMVJbe1n2I3XXsnfEhAxIUnQM4yhY33I02XQe0fV5NIY
OvCysLtSk+k+a4s7T5T7OKqfyeNuRJHxj50onqBB/GCCVaTp1DpOhfsNMFlC9Qgilat3+9GZ8VZp
X/oK+tUisoe1pwdfk8iggcuV6wDynKOUx1wvHkVMV5wzF97FUVatCFx9mWL9UiN0terd4jqG6OJD
GiuRogx0543S5uw+Io6He5HpMl0HdGeuqkJucAyvsRpudJXOBM1ba9X0OrluvLKcjoShxVa1YtRa
1+gOeVsXvpkJaGVuX2w9yHkLlMwHWuaPLRL9kmKlVTfo1rIeXwMHIJZezDyh8GUcYQA5oVw6CUb1
xpzkWlObFNOJfg6q0Qb3Te6mEMVVVE0vblkHCw1V1sc2b/uQ9XGa23TX6829EPKqVTN1gcCDLp2K
NdZpK32jYTKG1+yroQ8fiA14OHzqfci+fNkpGfq7ze3q1lYAISOEEjhO6tZJ83iFDcZkjktAKS49
QnsCOhxU4LK290HvVsuxrIdlY8UvZAvxYXbyxRmMyq8HJV7WSjBtaf82l32TJCvcRGyG9BbZSJsK
GpxDkwRneOMEDvcUKNctAvGxmYFw7YyGCwYgcfGMi8MlQStaf0X8+imfgXL5jJbDj3vIbH1rz2uc
DvocGlK9TBXd8p2IGegsFdsF8iH8z4h86XCSg7KrEH4WI2S7VrQPIqO2HOKdMFsiaSGsPUu7rPQw
WzALuWR8rK6Ei2IYzOg8D4aeAUtPmFSowCjZGlD2euFdDnp+E8/4PWocnlIQQswaQPO5M6SvCBk/
NwG1FbK80meSH209r2Jm+416gAzZO74+c/9qExXDAwUoZyagQVp2pRTJQw4uUKsinJ4ABCtVPDMI
RmKZ2YLFTBmk++DIWPYek8ceiO4FMiBlVYOFJ6O4CGZSYQuysJvZhQKIYQPM0BHyICsa6nsHVSoK
nccGKQiHFQzEbqYh1m9cRI0br6w986QnErtwibbz7d/P4luqa4Z9/vfP4vG1+vrKpfr8WZz/1F+f
RYaOYFAsvopvwBP+p3efRd3EaASTzGEx/25SaYBW4bsIDoWPIpVT7ykp9h/gOQ0HF5CBtWBGOvyT
z+KbWvLhszgD2RBS8IMipZiftShD0RkRlEly0lSzqS68JqasPu4yU3lwZeL07EYxufhtKUpwxcmy
1bPdVGXbYbdTA7HJ87fmHSZk7j3DjmJRxN0t/RfVXh1SGT0GFB4wYifMO6Ln+FkdnADPi6WF9XFb
6Fbqx9AYZDKeBiXt2MbrLwHrOx/r375QgVLZtEuCOr0fFNC7FuOX1h3uJ7X/ZhfONZV2/AXQibfh
YK271pVbs/auQA9972Slr3iHM1qB+L8qeHHRUZqdgSPjWSHGMxdhnlwZXFG/mi/skRczCLaA4am7
7Wycm1lCtTFhB5NGbgYvYCQ7QYRTyrJbsccW28LI0pXHZwNvRmCvsjJ6bJOyWeZWQZACyP5ims0B
xmwT4LuBY6CfzQN41VGGyzdPAQT2kUgBRgNYYBQczuYDyKnpnjB+eO3M1gR7NinI2a4ADMI6xbOF
IdQwM9DmfFHO9oZoNjrks+XBLp1mQyNQvY7eHBHgGQmC4pIIZrsEPeXAMSJcKuNspmjefBVitljQ
oW3s3aJCEM14OYb8G/IyvjAdxdZ2XsLAda0DmqIUJ9G+aISOli1FlU4pxDGCqEV4VCwb8k0R0eC5
pWWtWtmVSUSWRstRkpmvktdUtg9lnRykqobLzOk3KZ8SHxbQsfKUY61QnhVl8dIq0ushyi8KvXrS
leQg+pj4jJ7dAk/tV03kfjWL8qyHzmWeDW1DCsdJzpYYY31FxN4g02NFYjpicCbvAV48KeBpGCZ5
r2SMdm0WYGsLEOMHW3dX2RR+nQZ2I4EqiU55DA7lbPuxiLgxBbW+MpCtZs9R4uMyJlkUDatW46ua
jXfh0AxLkB4W46NOsMJhog204JKahAxqmCW3YBQohQW1McT8P8mTLyImEA66Iqwz2P+p5SW+O5kd
fU1xt1QH9dKxiCMmlUWtQJHUFyqrFZuqSJ/hpL6K01rBAKw/2wM5k2CUN/2MK/FGsP5w+pxFiUHY
i13AASoc69pxXrMg/JZKXHU8XX4jRjBb7PdbK2fD3zEjVlvHb+sxW0mNYSg6vrd2ufVVzaR/SK0a
OAxWg8KhMCftF7FwZHKR1428/ff78ef3g53wL74f8qc+F/7Mj68HjC2ke154bFsQgkBi/fX1ICVs
s9Fi6a1hzH/z2P8wpGJmYZuFj/XvmoAfm6q5C4DtMcEW/P1v+61/8PWAUPJ5U0USGNlNI/NhOyik
n4SdekLaaa3WvgyNfKKj3lYLpppuVJowHaGYTzCJW71bKHChUpK5gSMxamR1u2pj8TaYVlkdt7Ga
MYYMOUbo17jZTcaMNIgxrmtydlrG1Fsp7+CGge1D32ZKsZzUkKK/ReIoXrGrzQo2oNdZ9nDVCoeO
sEiR4dqxqMZqh/xBVxk/4wfaNrOltK47ONhz23IVE6xvQ6VeB616K3L9WOV2ykpZEApQr/ORh18j
vYmbtNgXMtvnZXDQ+uF+rInS4aIPsIZlm7bYYUFkKhny6BCQjf3EIWeawtVdxC4TqDaYgCIM00Pm
eGdN5Y0JpnqhtGw+CzAJC1TNYtln7kXFVEyf3ytx2z02uCPAM6e0oqikwuR4rmU+rnu7s327hYkN
jq/xDWcalknDFFKFlLEaiQaQ5tVXqtWOS9Fqpd+73TfFHFh3x6Hf4nPxs0D7Ngx0v8FIWgu1hCzJ
nJleEgCJeuGzv7pvrRHiWdkfiPmx6ox5WbCwvyEdvS6dVl8HCZhAJSPSR1/BDg2WzJwpL4Uur/Hx
wxIs9rE9+RFFUYsOc6TmgLZv0y/myHamirplY+AcShOYSabid0V4YQbkngvXJmw7EThrBoGnViZr
d3QULJW07QFjXSdpJQ7sUDZkmB9aDL5MGbx4Y4xGvFTs8Dw4VYyhs/G1srnoWuK8pVo9hBLTypRY
+3HUbppwWFEm0C0ETdhJLq4JSx9iy1gmTtyy35riVWCRjStMJSCEF0S+OnhnXugOCU7jVaZavdWw
mlNlKC8tjZKXiIRzbiR3yLj3mSgXsihPSkRlO+5cko8p/dDzDk6k2X0PZXnOSbSq8aQWLTtFvvhd
n94MiUVcfQ6CzY6IyGW0Mdai40bXo31R4D4wPLZyUd8/5I4+x+2ahyHo7zWzBsvOt5dgyiaPvJOo
LV8RGHKs5svgMIevqeqicTOhMCeBa+lq2dJo2ptATEwehQYdewxJM5rhtmzK69aenvBzPNOdANsz
huIDqbMEvEJbuKm2d12M20FLzHgp7YhwrbxQHe8lx4VN+3up+7rUbpiirGG03ha1ulEMee5hWSPI
Gjckx6gGjtRsYdAaFkbmMXYKxQehtx7iFHcXCHloMy9ZOA1buDTbtqvMhRK5np9DgMeXAtazaXIY
6diq6Vyn/X2Y3L2nju6SNrFNqE7VXLqxznqHm1RPIVB7/INtpaeQYzxpmol7A/iOrMpLPNd3OBWi
iyozqErVhtck9q7ZFDoLG9WB8fcwLupp/N53WKS7Ls2XUDZNH70eV3jdaJvU6Wc1A0JtgHmcelsH
+gqUbFnEI84RafkmQNQkHF7sqMlpUMrzFex4fK/lUVPM1wSPzVIOxHQqrGi+1Tik/tXvVW/uQxlv
x0mySwZDgDy7c4yk94tBI1xZdmt3ULol+jaGEt3chaR8FrRz4LrXxZGk+QVNE5uxEXuaBLAq0KyU
il3UlDdBVH5vBq9e5n11GGVwAp9wW7gRnKaRBSSpTHvv8V7k3cgiiejNypFtvxGJfMglle5O7/HM
oltYAUCSPiTjGnf9vVc3LAMlQaEux/8E4+ZpMBqDx3GgZgShgNiM9L1Bz9Yswx70/rWvKEGHDxWv
8tHcR3b2NIxcUc3Dh0GyfRV08v6NjWLUyj1ZstcobAikJg42BwOzRy2/err5PFXq907jZsAGfVtU
/GC9SRjVShvohGEOszhzzp1IVhBSNJYxvQJOpbvE03TNqWKBjE4TLJq1ZZYuHntFX0ypc3D4uC8j
V93R+4LRKnCHndnDlyiCx8jxYEOk8WvWs+cOzB7HOML53Gl4Rxh48pkdT5it3ppl/l0l/blKQov9
5SoJ8fl1/Mk+mz/3Y6Wkq39gCGb2wyxrXii9WynR7QHRjNmDbVPq/pZr/LFSsv/wkKWxCvH1nyM9
P5ZJ1h9wCT0ml3No503M/gfLJGhtn5dJHhNX+uRc9uwqu99PY6OsoAJo1Fz7MjNImIMDNZdSdZ4c
9gbSaR90sHzJdBUA6dNLbaUD7Wub8C6YKX44Jw2/wLZTAvgjFADsz+iTu2ym/2kzB3AECGg3OHmh
pu0KUIFqSJESnxZMxhUEsJknqKvaszITBrWZNWjM1EFec8F6isS2j0FYBWF1kfdYHIQRPWT4vugd
eJrwhqWFW/l9XL6MIrnyIuOlsrXHoRt1326GY9MJ6Y9Rgs++FPsWlOjCymT3MKrucwyMZZ9DGltp
PSgwtRB3tJQ+q6Mz7cwMgx8JPzy603Yq9eeuzi49epZH27nxqg0tDasSTAMQ8f6ujeInN1a2vSof
6koJLxy9WHq16Wd5R2WSukbugPEdX85plHKs2BrF0TdJ3oDVY7ko7f7Sm4MXMtZ3plzjmgaFjLFQ
vwnLY4V/skmeSj3i5VeIDRzxWTGYKeS43hqLDF4idJxdZrCQVl0jDXiA2Hsk70A52Jnst7KhMDmI
21UvBf5L+2CryBSmHbGuSVNaStJvFb6jZaPX7AArdVPZEw2jXXseXW+rCj5PatDlmyjHQRljMk5z
joc6X1shlDen+qJOIxqsysieVmaJY2qwAxDPrXPA23WiYPUyK8ylLYgxSop/+zCaYO8tHYuoY2Pi
x0xVqwOINYci8Fj69pzJThMIK6lDLSBEsAyaFAzyMfYw72bT2WucF3y7uxDmxbqtsT+qCBW4zq96
x659R8NrURqQ0kTpm6W4zjXWzBG/nFIYdxaJxpL65RVTWvdQKtoudeWxEHQtZ8N9VNdfipK6I60f
g+Vk23wuQetCa2FhkogGLkFDRzHFKm3MlnlCuJr1/6ugNg36n4ct+V25hiOQE6i0e3p3d4YeU8ru
YIvN5F4WxckE8JGQRrO0FGMo66miw9M9pgZ0jPw51UCMaP1RTuxMsI9fBHVzUIEY6llLsQVoBLdz
vwjarbwo3Ngmcw/brW/7Or4pWuUOR9NOzeVFW5mvFCbuEvhpBGee8zqFFEAdDiiGg2lUe6OVx7ZL
0HeT4SrNus0QxAeztZf51G8LT+60eXY8mlucnhehiSu2AgpfpP2+r9WzGpnpup0q1hzNY++wZqnN
iWUV7X0tJYbj5FxUnn5txcU+ibutmUAjGdOs3YlOP5lqdWSAhN+1wws/EhUK9Zta1g98EvcA2o9t
ZC6jcLzO1ZSwFw99kkZr5rIPEJc2Vii3mR27u9HKN3bXz6yxBjiFF8PXNhB2wh27zKtM6ciTqaUf
tYA2PPVRHcC4u2qaLj29ve4jCyBEx8LEQflnOPuIyrR1Wr7VFBZBNmZzhocdPsnz5HqbXkHe8Vim
xd1TXgHesdTvUx0ydkPamcgdxWyC2dpNSp5d0+eO5dSFg0OnicW7bzCMC8UEPlDZ6d4L2wOhrt3Q
tA2cPw/QfnQyu3QfhHQ+4H889gF8+tjLv3Rx4y6UKr2km3xTSu+yygExuf2wzkpVW8WWdh9r7WHQ
zAcjUS61QNxM809ITvRLAf1O1uHK0HsUe+VhULuToWmXKlCbyJ6bqcf+RVfYBsVFiP+5ZAXe8FtU
mrXO2zDelC4FLIZxHD22v01cbRMpNkle9Mva1u4xNV+UdbeA2ATaTbnqSD36unlLQ/oKjMgXsCk3
E+rMIbfKgiFJcF1k+VHJ1WARlOnKnKxnrbA3VMwtTIP8nGhsE+bdoG8TtrS6Hr4mrBAXWI1UxnIz
xIMls6YV1lqNjY1TQonjpijIfrK2t0N1W2ftY93HNyVb/bENb4Oq3uYKW9thLm2ieYZzvoUf+dCU
UbcbzHMyo3LUDv6/TTY6GwC6yFPfhLexOtVL1+62SkomY3J3VW1TrKltq9Dj0mgnpazyRYSnuWv1
G4C67kpFkVy61axCakARDftYp3zvV2hierpq+zK+t7K44eVvO3s9J36QMUpdRyWdOyX5itjteDrR
KAjSLOyKU0Kx27Jg3Dhh7p1JIbpkALp8NSlxudA7KC9w54cFZP4vXcjltHOx5gtDzILELzjsWVML
UX6bbRAxIhtSWEuy87oL5lNUTCjj97yqicuYgB/HPPENAZEfMY9xF70KHXQxdux2hRea+JsW1Y6y
yITNzDELD0jyxSkvteZRaA6BTmuqFITv3rqqe3CYqTshNvap6cagAUwNdXtKl5OmHEjoXFCqddbd
ZG0OYuXozGrL4DosK/r6YHI4Rs6UChwhXQyPQc9UCYvuqtIoAodmtWlNgn5G03zpqA7REvfJDIxj
1xMXIcaXtd26CUDvG/UtXvERvGf0wpv1XjWqLfmmk2oNr4Ew9tnEZfIi3MQxq/5agd48WXsnzo5B
nBqskDMIStiUCzzWLZ/oaiRzYFfBSSB0pIm8pjMqJsg/7aifP1hDvGVcS99Ascu8fmFJNVnGThJS
rWFceX1209BlDxBpXGZ5fpunfY40kezZdO5UVTkCx/ZZCm30odw1gQcXnY5Hp9yHRfNgm8Y+pbug
MvjSGu46cYuvbIxXIgmvhoCVwojlfQqiVcVu2Cqb1yzyDkpO9SA33UDhfeulXwH0QsKj6lCq8XWl
g6TTqVMx0beMzN5Gg3pTJ4DbmhxrwYgvf3RC2kz6ddARXA4EcAUMCY3QtlmrP+Ji8lOhDWsLIqvB
eIClRblgKFnydk8eKVND/bcgRTLe8BKMTm2Y7pRC3MMu2BjudFY7PcIzrd2OPbMHUTxIdEB2zjSO
KV38Lahk51MV3KKl00FjqZdBaIBRbewVjpmVGTiUtcU7L1a9dRgGeyphX4vRumwKADy835uDrXOz
hLK3UJZQuKiV0FbBaLsnqcmL3ERPSF0KbBv1KjWVQ9oMk6+ExrquQaIGVkRymmbMbTTaT1ZPoMjj
TYM9fIBL45LqYEo6wM0vFPsJ5F+wLuLyUcWpD/ihXSd1l+Ll5qxpvtl686unJHvSSS/ahhVzWyYv
xwIVPwkV+uv1ak8fabnUyYUsyypjpzhAnBhLsqb8pxGMt9aVN2E8FBuwEDs0AxBhTXuYqvmrbZmP
g8aDJtDwl9VARKMczUstiS/J//qmMKOdE031AewsAZDBeNBBIl70VXDl1ekTUS5zOz/utjGbLHO+
5tjHjCc3IhldmFfoiPHBM3IsCsUuLNRbPWRFIy2VLEmLkCGXKpS1MlQ3rWMC7LSy78y3QDYZkAYN
9xY410XMDj9BDuxSgJ213jyOWnntDSBc88K5FFoI/FasU8cc8TiI+zL1nszBuMZaLfeWIfJVG9py
rTfm05R5O2/mywk1RoOhD2WvlNpaajHZ9NzstiIlH1y/YQrDN2ThoAmdbUQFMXHl/sk1TAxbWel/
8g7f7fjOf84jf0Njsj1bdzS+8aQ3P/OF9FhVB13P45MocHXlx3oaFp558+uDfDKRzcgnDmJrpq0Z
ZEE+i9lJMFSGUtfxSR1ptz6qQFUU87bpb399GHai74xIb6wkCk0YtZpYmRG8PjkVA1X12AWoLNz1
7728U4zfpAt+8vej/GuqDlqHy/X5WtX0Okh6pNJT3nOjbd3g5R//+x28dlwhLtQcmuX83tm8qXlE
oLXK7OSy77DOlnf49d//yXz/58/w7vp82iybdqIh33N9zGyjUJRESt9ZYjgZXlOx/MeHcth2z95B
6ttpDPl4KlRdqRN9GslJFVuiHvg9CoRU0+czrBSLXx9r/mf/PWh/+9k//Cyf/GeqFmedY6fpqYDP
X7Oi83m0ZqhZt/71gX5y/T4c6NNJ5Y7wSEj8eSBU8Zwi4WjNd2T+FBe/udfmf/Tnk/LmiInL19HQ
9dkv++5eMKxcl3x481NtrIP0pRtWVvD116fzs9v53SE+324TRVAyZJp7yt0XETyZyv/idvZw1jom
wHQNn8bHUxBlajWmoucnwRsQATcdhf/rM/jJRWJCBo0L9Wfmo2EBeX+RciVnfW9r8jQ5L71z2c4T
n+Y3766f/ejcxIzLTegwlNh+PIYXZRRAuFN2IjxHjHeeuFhXHYWfjMqM39zJPzkWZbRYArW5+Af9
6eOxogBAMQj/nKJ51iSreM4Rr5wSTX2jX79dun/9tnM94n+XPE/VSx6+/kTw5E/9EDwZDaNk6wio
vI21N/fQD2MRXfA4cS3d0m2XG8LmqfwheBp/IGnaFqkm10WOpDfiL83T+AOXLT5cXLrGDDn6R35b
RE3ugr9fDXx2uN35+z0+ZzqBk9n0+/6uL21oYT3VLNg7tGhlTGkCub/1gr0ylOo+d2rQYoo6ts+m
iC7iYHxyQ23yC0d8NTC5sRC0egfmC7rJqjRUAaClhJElYgH0xY7kPSQhewQAptbhLG0VBKpjW1/0
hVG9mGkQv1L6HUDwz62ZjE6vQM4uIUf7WEfMnksKkGudAtXK7NZlRa3pBXNGb+EljHyC1qOiMS5s
cvu0M2EJqr4rbojHFsvkwooDNuU6DW6uxlZynuYpBgWzBNDZBoxwx6KKgCe72GKSe2SM4zT1V5ox
HaLOmyMDB1OmMJij3QAZ2rfsCiiApli+rLt2qddmdChMe6MWyllQuHZdBO6+KSKaBEM6IENWaYe8
lpWvK32yGm3IeRVoN2qt2tPQ1CclGdxFj5y0GNkZUtDWr3AG2h69cI3CcNcYq++J0dzEqXqj2lCL
WT02+Vkpk+lomEzOymIdFnb0KGNqEKEiB7BGiULCsTEk3Qp1KHy9YAujS5edS0tVo5HdKLbVrwuX
HZNTkm6uqmzDiI4qZoAXWGcwFk+OvdS1PDp1ISinuBDtwmD83AyKvLZhjXrAgpj9A7r12nxR6Bq6
pHKEq7rubA0/TFuYdzWF9EBsQAtQKrdWU5wptGz6AzIZXiuneLKClqYRTWH7ssjhSvn1iET+7lE8
/w/WonNnEaNcl+J6AO32p/WPUKNeTTyKJXQ1KtZ0C+kv0ch16mHY/P9o5b/vv3ml8N/ff+f05evP
8gbzn/rx/mPgA83FhAX7NtRRWeb8eP8x8GFFRyeNzSqbNxFvzR/vvzlvQOUVIyIseuwm+FM/Zj6z
a0ZjUT5/2HBj8tb8BzMfGLGf3n/kDfDiurQp48ibI3cf33+U2HRmYzr9qRk6dotN8iC78dqRXbdK
vfCUaaX4yiOWL+LRuGVWSnOpoQQ3bKm/K5G6ZixlMulU0D3ccgWXCXnKQYeKq+BLFUKBGFIHKlqb
X5teGm5U2t03fRcc3YwxdVQ4X1ojvrG76SFi7YHkw3xWL0x/kFG2TZziwihqCMLOPPj18vWU6jcc
C3u31uKYbiNmyyNGYxdhPqADrkm8O3YDyLhJ+E3U7hEg9pVqDqeI5hZJ1x7j8fFKj1R1bboG1gqz
Ow86EiiLRlzvOlx2ItxzSSXIytI3ypYXuokk0RfaVoNos6brhs551NhVi5NuZSTBxsbssZBGxkuz
MG8rD1gN7XytYaxanAULWFexT733jlyF6Td55CJGT/eW9w3O2bLSh2NdZxdO1zy26hT7hYCdQi0K
mLCRcl27a9HVhvG1U3Hcaw7ITgUKixrdhxovec9V0JcRXRAKAGROW6E7kGWcS4cSpFBW91KxvjDw
2uOIQ1GaljaEkxIgfRskV/rIcCK07GuXKxTE0CEVWa37NL2sTO/ajtUvyUAPORljOjqx0DPk6e8y
3XwSbKl4t/bY73OI161GsHVw9nCubpUU5c6e1Pu4o86+z8V+MoK7YqgumUng/8dmX6fpq6lEz0On
3BYGonU0XNOFsCbz8Qj8/Cs+FOpgrJEiogJ62DTLqnpdfnfG8UZtIZ1SjHjkZzr0wkEuwQRlfkcO
XgU6p9O307pwZL3UzdnZDmtDuBLLh7OZhGMtqlw+G7n9ZIDeosFteDHbnvtLYxySzVU+XSMPWpd+
C7gjvcrIyJcA4UjtC1qDttJuvnWKSYgyMm4t7Kchr36cYyVmqZ6KeqY+M9M+WlTKKJZKBG5mpHQJ
31RyLxou0kTD8MKKyE+YmX7d2MXKKzK4HBk9hAAU8M/DIbjUW3k/1Pj6dwbP3FMGF0HOtt8o5Isy
NSZmkDGiN6nydkHCiEU69bDBOYqJs+1NLNCawMMUIYAqxXcmk42HUFs22GejQIyrJkvK6a57KyS2
usGlKjgMEvMmDwxGa0hg97Ep5Mqk0JjE7ISB04T2YtJ13DNudAWf8Nzb4I+iDxmk7xJMQHqBiOSs
aCuYNV7jSXaWIFrP45ZG3NJ539iLaKj8mG2Nr8TZMnS94cYtqF+WjDyGaPo2f3uBJblL2uPWKqmh
NqF1YhqYy+a2Gy3x+iAQOZeDCSuWGuhJdR9iaqEjlwhJQ1E0s+VdTHE0yJ5lOshzGrfrYi4PnqiY
lgUzTYXSaTPKw8uUGurEpCZyNLQNYNfLWlASXLZ3HsXVlWGyegn6L7Vt3ktpPGaqgzkZxIdIDQTz
cprmAdS9Fc2Gu4mCG3T2yz7ovEXeA8NIovSgUqTNf6tjTCLdVwJHRycsFnpJDNNIvo/UcBfCuS/K
+MjC7ktVg6FQM+dkU9xtt1JdmGVEKVHZI8I2oeKrgfZFHcS1S/E3Px4N4AKba5M4d1nX9TwhRuNb
vRut/h97Z7Ict9Vu2Vf5486hQA+ciro1SGTPJtmKpCYIiqLQ9zjonr7WoUxfSZbtckQNPbNMJpPM
TBx8zd5rM2VcuypoVjhiWaVkz1Y9F9PMpeeRStvF5qGLiOohHugG0R2ZzcaRaJMzhNXnQL9wFwmP
ZfroxqtwKIhwSnBtSA/ZNBkgC4EP/atGVum2Ek267aVIEBbql8ROaJtBxeqazKiXKHzW5uI8JndX
mwngNab5RVORvDMK9aAdWSp2drkqoGmtvah5GRmisNvSaxIEy/vEdwnrqF+ShfBzUEHF3VS2e600
76EiFUFY827kXki2UKav/ZDyyh0PXlEDSHYlniXuDnWP5maEPl/kfNZYB1G25SDaW+gjxsyINo/K
De1IB3Km78Qns4Bl+G/E4DcvpRps/FVFJIvn7o8doXrU9xURbDvkJW/1y0/UbxsNjKfM5PSMqhj5
rSICimfzJcjfyFZ+6yPfKyLyBzFcgI43QRa9CWT+SUXkqcL4+46QaSe1laucJmCPUML8WBHZcVQS
ATMbJweFV7ZHNm8SR99kF2mYB7aKzY2XB7oNruc+342ReNDwF66KGLVZFe0EGRmY2qZ7gC40lFV7
7Q7VTtg64VXsgorpYE3depHkWmlPVRRx6HOKRScjFdFFlXR+4Doq3ddgdpx1KAdIB/xC2Dwjf0ky
OuSwJ3DgoFktrd/aY/+0VMV+NPH7Wc5wRUy5tWlKLeHr+tkyoDQzWd3aNAhcyPnHUpMzlDv9Nam7
r+NifvE1VmaVzOKAUuS28CeOsAk+5qw9tItNV7Q065QEVnhY4rJ05/lMszNySbmOphK3x0ToBl0I
3xh2X+lrbL6xe2kHYw0GiDwYM8G2EBLEV8QtuXqV9aJnj858FXcuVhE8PA4AYFdRPkKvb9ccobMd
OBmUJNply2Ksb80ji1erF89GYsO3TiZ8PXE5xAj1AFAj7W42earhelN4aprpcUWzrxYNfr4lbJ0c
InNojcBVcOtZYa5RmAC8XvL2eqiAYMsaqATnCi8VnhdMtDSlscJmFwqgXTTuY7W0tOwSn4atMNtV
1cEZVbdYoigACisct6vA3Ii3bHBdwLpTjJ2xwneTcYr6GCHqRajg3qOQ3TEGCbSbFPqbdQsgkEYB
wbWYKBGMsV9NBQtv4kYGjQKIG5DEh563D75ks0Heidq6oXtMFHrc1t1XoWDkshnHDTIKc9VCKs91
2QV48fIr34qyjfEGNNeItBfwi3e2wp1nQ+fsUMC/FhModITEgEkVHt1ToHReOW4fCp7ukzC7MmeA
6qEOc6FTkPVS4datN/K6oSDshcKx1zNQmAqU7apTxPfe19qzUQHcoxGUu4gRbQE1s3Y1GvANb56N
x9H5mjDvhMkXA/iyrZ3S1MOOV7D4VNTUUb5vf9YLpOmU3vFqVHj5qGCL1dT2QHyjos+nCkSflmi2
ueaiY5ua+n5cSC3cxLC/9M2kQPZo7tv0a444fe8bhnldUfCt0cd2Z3246EhgqChafbrLNSNChZRj
cLVEhmKr+QjsOAr0JexXFREgmy6e0ER1T1rUPORVSXnkCyYXBbnUQ4E5J9VB+ntz+tEoq6u06ZJP
s2Ctb8ZRjBjBR+9cs7JbiPYsUXQ4bp4EgDSbg5AuqVTDJ4ZB2zHywTML7euY9kq+nTxhyjqi9HpU
iQE7lKZugMVWHSLigpfiIDPxteI6xVhMmlXh3xG8dtUY8bEm1WdVttUl6IYX0xUPQ67hO22nq35p
/YPftvtq6W67Rdw3sRtu9J56ppEtFrI5gZ6fzDvLJBUsLSl2fIhVI7OK1o9vIh39vhfhB5W51Zw5
+vI8pUjKx9LcJ1V8zLzw5FvjhTZZzXqmK+VKQa2LF4qSJsmhrqHS+Zz6ZfnJzfp0H1kDm3RbWmxK
hX10IdysbLfqkIcXn0XncGbpsmRH2VxVo3brdp0S+2bJMUKGsZqqCFPaPPr8SlR8swbJjuKSuKdq
jK4LNkSrjsvl+o3Rv+ghbZd60l5lqqdhInY6RombPGrrtW8iZeGEkXjhXRoiZxK72jbmzZLSuGHs
yDlhvHmngmM3YZdYrPgLeyOWFPV263xlsEbqjL0c0KycdFRMhZWeA/ooNtaomzuLkOeNRT7MNgMR
uo09R9/lYQizD2fX3nQnUoVqKveYdNMQRdHOtBSFO+W3jQuuWnOEoJqX8FcZOSqqL6eUrrLTx5K/
1GkHZ08CVrSSqeHutBSjVVrQ1DbYnnHlI+DmmJLf5uz/Dn9U+fHnpc5NMrwip/jyi/m3euB7tWPY
H2xWHThodZuagqXL+/iHybiLp5WKhuGzCk7+vdixYANTaTPjxlZrq/H0/4x/rA/wQ7DoMvP8DQ78
D4od8ePOR02/UcDhV2enSISQ9TPSKzZLNAvSwlFUNU3tnWs5RENs4RAnCA1EHJKdhDStDKFYyMiF
lf+yNXCneDQmuDwBdeYnWTUaZzNWd8cpMYdnGrHjZleeFaEobpkxjCc52fV5mfTVSx/149EsxuzW
Nkao5FWKTrWfvNfQTOx9Zfvh1khbOKBe01efGNTogsaNTqEd6xUjpF1mGuN6yUuSRRi4ftWsZLkx
OzeRIBgx+ZYzMYG6L5izus16MlOT0QWIhCTGf1kUMrwzqTVuSJXL41s9dbKowx5hNMthqeMQjQ8L
CYsjkuBEkyeUOsoupFw2lvg1B0w1P8PsGK7b1vBHnVWSaRN6Baf0EgBCuimcpEnvtXRx6BSHzPPw
Y7pNiwrGwkbgDJCLsBlYB3sgUWWhCl17C4h5mIl+XzdrQy0B9KEVztmg9gPh26qgUFsDAB4sELRG
LRPmpLSs3Wx06WFGwCfW1WLfLEY3eHtT7SQqlhN9mnP8uzAiLxykxAe/8ZPhZkl9Yzu3TrlYQcwH
c7woyHostW+j539PBMWe+vMT4fb5BbwtLvtfBafyyPcjgbkvcY4+kCFYbd8u/PczgS/5LtPi96/w
qPeRMHNfy6VOV5cpR4CaFr83QP4HncbI8PDucytVwPB/cCbgvvy5AfJowdRvh2uT/drPlCIrHUom
EtN4mohID2yZsD4Y4nRTk1BeeFO/xWjdcad27OFpTIuzuuMm6eq+x9wiSYJwjrp1WPoGeHB3o/lc
C8VceoGrJ9qZ3i/PTmgul4DzX0e3AaOCiG1V5+EtyYfuRTlQiM6D1XADH5pLJDCbNIo/9piqR70E
FCv8Y9GbR6yUX4m1/DjGzE7tjNRuJIqGuRcJo2KRUi0mBblHaU4eEGkR+XrSbRI9BNNUZvWvqWff
j672KRu013FQqNcQI+E0AoQhEuNLAw2HbAkyL7n+qZfgtYzZiNFIuJ/nGJcD1jEjyBnaMtruk7Wc
q49xUV2bbgR7GWm/N9uU75I0RWJXZXQRJQe3tm6gmCAkDl8XpYwur1wDDS2m88uS8ecypQ9Fgzkb
zkxcOneDA0RET7/OkV2vk9y89kGSo6anph2i7r7SetbaEmiozON8O/U4TxtBtdW6RC5iQlr33mjv
CfBMAyuPUbmXkmEqEZpBkbDB7EJ8qxRK3Zqw0X0W23SwEHIwzKc36NFNzs6ccnZm3GkkzrB2KtDU
baMEjxW9TYYc7Lho7U3VTYi9EMLs5ISOFP3IurWIDLdl6uxlKObsYxlpXnRhdkvxgOuP7WXO8o6X
b1iCyaLBHaaE3sXxv3bo46Z4OMV9ixD1bSrTv01oWsUCwVTnadjncrFPbCPcgmMxTh5JsAH1K3JD
cy63tT1WF8ViJvc+Yt8Wtvwew8unLJkKyvYa6rpNSKlWSzaus38nyvFgAU8igksirTPyfWsY95qk
IJP6aG2mcCmxPcI4KGwF+enQX3SlIPCP19LqhosJi8YdnwAP74tHdmGTT1flzIrAl2N9FzXD5w7F
xZmXmQMy0Pi1NugfFpvk80QYlxpch56p7cRL7xgM33q5b2XY7k3k4beN2+Qgxr3yLjNRotdGEgeD
Xd9Vfr/ue5fJs+TmESUOkWGMrknoo1BHzA8mf0a+LMgAsdopKHCebpwE8TfiDn87kxV+7Gf9eQrr
oInHj/4M7tgq9RnqTp2uI1vQB0+2dtA0MX4iDH5EFN+E68Tvyx1u3OwlYyG6z9Eyr5bGJ58qnvbD
wkak7cVCUviCJ9F1yB0fLSM8jxEBXvjDfNlxp1oJ6ovAqxKuzGJot9CsgfmYZXeh+QvRAEaGyt+Z
ls3bMfzv/ciinvur+1H5n3XyGv3qdsQD329HhvtB90mlU/gXlpAG95z32xElKmM1JZpyFPtMqUHe
b0fWB4dvNz1uFCrDT3ATeb8dmR8Y0ZEaD77BA3vp/KM0qV8pNGySAH3L8pgAGnSqP87jkjSNuxjZ
+gUSOdpTB3ZJ1AfSdbJjkRRjbQbGsHjMdrCmmFgaynm5lazWImb95xZG++csLgOrbwh0aj6lXm4Y
V6PRAWNOh7luVt1QilNR9csxsmSeHDA/mHfQDjTnYHR6q62E0PpTEVrhMZtdvd+YkGGM28QTuX22
REvevYgycseL1qpb57omLWMgrekV3zuTtTKRxGvYbCh3uqq+xFsh1jdzf7BzE1LGsjAp34RKYrLY
HpFCXhPrZ6aSoLRNk2IpxvG2iScw+23T9hupz8mZ089EJ4VLLVcpVPZn2eGp5vYbsnnwbKwc7Pjl
VWw6ivX1CRH6S+piJUFcVgS167zWffHqigpW1VA09hf8WRhikNw30XgoF93Z9pkmwThGhPqZOjf1
MZMGqP+R+QLLzwdD4xIW2Ri+TAn+iM4qzQOZhPE5yV8sbo2WDWQjJ4rqutnZSOOCliMCVk3J+MRn
tEOHzT6RRTBvbr120SV0YxeCXijOfClAo4atdzE7znLIbCqCxETWbIt45yXk87aRyQBq9lO0KIgw
vDJb1754JWBK2/nDss8NcbKonXdzyF5O6wribkMc2kDIH21Y7OtsXAYgZ86uMgTS9H4i0LUdLzNr
Ijo75ogWuUp7Qse2SbXaPOlRlt0i9bFuStctX1Pdbo9Fk5QP+M1ZayUNRPshPfv31KLRxdqKEu+v
T63Vq2oGOaJ+AjmqR74fWwgr6Fo5aUAEq/6Znvv92KKKdm0UEt+dTe/HFk5a0nhM/fdVwe+nlvsB
iy3KSSo3fsl/eGpZ3o86Ws5GYTocqpyqaCpYTqivfyc57SQf3iHzNVg5RRrkLO8Jo1yVuYvoXTkD
M2/ea8ormGIapHYW0CvwEY4YCscZZ2GOxXBRXkMUSGmAZ7hamcqJ2ChPYoI5kY77Y4VZsdabi5me
EuGSDz0RP6ONsTHE4Ej2+65QjseoB1akPJAOZkhUSgEK3y4ILf1a6PglRx+3TJu2D/rkfZ1sWIfp
WN8WZnrvESC6WTI2jlLzlk0hmkdb1nKdGPW6yIAVpFGNW6zStgT4SQRN7W7MCJXHjoMPUBZHImNG
YElhRRWOi0dbh5P9qc4Hbb5mQu4PWwIgRlJRKgXrAd6l1/jUFdVHwChBEya2tQHxZ1DsH1NRgJrZ
2gyKC5QpQJAiBYkSJohiB0k9/dIDE2JQDctP8YWs/jIf7s2u8thiQx9i+M6mESCRp8hEBoiiVLGK
JoFJBccLCXjVcOaGXXds9PIzZtu0XZd5XOkb1Ag0Em5hm9dNFmWsJjxnjZLqTiexPPPYqRD/pasm
47G0q48MqitkdVN1Ts8yB5pHRLfHmRTVhzKvLjuj2xV4P3PhHScnfGRAxK48s2Zg9OlWlrZ+MNh/
4yzrZmxOE75WF0uFntO28/s8+FGfHAcEGxtAC2AXjVBTXt/ihOT1DjnIsC1qD+ISFjP7zWzWK98Z
fCzcQO2bHc0Y/YvFnK/1DrqG7nbseJTMoq31WxXRESpf20LCTYPRTcOKR+Ny7aTeAa/3LhvkPlbO
uAGLXO8Xp0lgCJ9Mklow0dkF7zyzmjh1SLcv0gdy5e+8Kt6NFOSwUdCs4Meb8OXV+PNafHotfr2k
R1+jDHyMLerAVaa+BXffNIzY/JThb8L55yoLIG85YasyfU0ZSQ8tv5sGuXRjKeugi4dwWpiQ4yk0
WxYzymTYy/yCnfRNoeyHszIiWpp9m8jxc6l1m6K7a6VhBKIR1xEOxprxb1kvxxZnoy7SkRgK3NZ4
HkGMsAJglZZ02adC2SI1jymzMkpaOCZjZZ00lImywU0pQqPa6AWDKne5HPFbkiz4YFKCV522rvBj
mr7z2ap1/ObKqRnFpxHnZtOO5zFOzlxZOnVz3jbK5Jng5wxxfaZFeSmVDRRc+edBGUOtMTwXyipq
4RnNc74ND+mozKRjWxx83KWDSuVQdtNpsqyjpyyo2ZsbFb/MjExHeVRjzBlE6rnRU4qDtXRSlFXK
06p1ewy7Tx1e11EMG0zgu9TyP/V4YQsJDKeiJ7EMGfS4ZduofpyVfdZUjfNou+e+KW98oyG9AjNW
0LbWY4L7duxasm6w41a+fW3hz4V4cG0qw+68DBfOgIV3wssbliwnRFuTN+ztEj97SM3sPNK7e49g
nFWe6jc9vmCzzi9iJuzk8z4QNn9LgLK3IqP3xS641PT2AhoQIwysxtHM7DLFfZybzVmDG5kPybFS
9uQYn3IX6ttBGZclNKPCbEgTwwQ14G2u8DhrwjjTmNivmlE72LigddzQfdscCtzRI3E5gojnSfSE
8S3X/YAhyyuaCwtf9VTzkfVpGwsc1yHO64zUL7txDj2O7M6uj+wHD4YVfxxwbDs4t5ki56yEwu3g
YNnC253h8TaU2XvB9R2akFBwgZfKDt7hC4+r7CzBJz7hF0dbB4yIGaNRNXqQ4im3h2Rb4jEHdHCW
4Dn/tzb5VpvQXfxdbdKWz+2XX2b/KXX5e33C4N+wlCBBZXO81RO/1ye0VbCtUBfongqh16lq3usT
h69QhAhkmS4xG98TNa0PjAyR9FKhUPSA+/gnUz48Iz9N+RidUeeQlE51AolEV1//rkARk6PVpALG
l1rmm2tHTaR9JmUHV02ph7eBdd/0LZ7qWWOQHWVqqB2OTZfeA9lIWXmpsXepJuBlU0cTDGA1Gcdk
zZBcfpuYR1OzMD+HYpUyTW++zdYt8JUNSDQ1dGe83zKB79/G8X7fA91yetiHpQYmZUVzld4VFfdw
ZlSpGeSZTrKbQdAFtMg03tZ1jnIchfweMiFiM0d6H0uDjKQVh/XwsS6ED9TRqZc5sEumO4HWNWWQ
WbV/ZWVDjQqwSZ80p3b2NJ6g0FD+hUyUjMhfIXRLLpauIZyrCJciCvzEDQNRmdCv9CJgqydx3nnF
peeWw02B1H/TEkpogyAoh73UQoe5XON/Mll5LoHoRbVwt5LutPL8xPGClNCiG/RzkHiWvkj2eest
L4WpwfOJ7Lkrg1nnJki8rnBS5im2JQFI+IPV7xwGfFq3TiArPWHGNwxW+agi7JSAvXLDcoN9BLuF
YRlqWCsWofGgodl6EyzWRjuPAex11w7pJ/S03bXwOg/gl2swlEPRf0c7fSmsrh6vEI5K76rUooEE
+E6vCkRxlWwOsWlIdruJmT5lWBPuJiFzSWkkyUAfSz3J97pV9t5K82E3Hxqqt+lYeIk9vrqjH70K
2Dg7AAshAIW4wjEssAF3WseCV8M/l/lJ9xhbRt2eGuZP3KL61b8n19vJpZC4f35y3b3Gz8XzHzsq
9aj3E4u2CecXInDlrkFqxbTn947K+kCLgY6drCGTpSHn3G8nlhJmOSYLSZujibW82n2+D4LEB7aY
nHBYa97QRf9oL+EYf2ipSDjitOK5CCp3FWn/hxMLbbmlAxPwT4OIs26dWrQ4jr5Py1I7yjzaGJDM
A0cbZsSL8sAw31hVXJkbYxDH3iHzq7YsYxul852vVc1OpogbSyPJV9hQN6msXyJzAlu99HJC1e1W
UltbmvzYwT69mQsCltzWZaBpzy5sem/tNibII29oL+gBiXyOzJgy1fjcI4TSUVTu67GE7U0kT4CS
IUO3JG9mY7r2QB1dN3RqnKmjv9bzkoqL0daKcFIM1FJw3QqA6QW/lT9l9FhSI0PYCzepEsCAofxi
lOYE915pfvuSyEZX6ZaiGixwb7FNycLSOIUmQaOTLPl/VIx7z8iNFSiQ60XJL1pOOZ4FScaixBls
PZu1QK+BsvKUot+Y0HH0LbULYMvnXkk8XCX2qPrBWQ0heXX4QjO3Ohs0HSiciysACP68W2IsMC36
EV82CMreJCW+dl+jMRFoTWrK4IPTLFfwMeY1g/kHq/FeKvQpjRKqtChWSIG54g5wFw1IWUaiAAa0
LS0aFx2ti8OMCOcR8hdkTN6uzqvHdMyPLgqZSUllZjQzkxLPyF5sE9Q0DskatZLXGHacoGKhei5d
XhZEVPXKUpqcBPPXKlM6HRPBjo9wJ1MKnlFpeVgyT+yv0PcUSumzdN2Di/THd6egQhe+ySJAjHPE
WL5GKFQpxVChtEOT70brDjkRtvQAP/pgBcnA3JBbEFsAcqmDyJZXdUf9qXtjumkX+WLX/eMQZ19Q
odvb0DK+1GGGBWyK+2MZmqtQ861tVHrD1p2sMFgaeC4ZH9edxKENl8ku2lViQCiobetAkqTYEe7L
4ocQssNEEOecums76+g5Rkz+4ehtjLSDku0iAixrUlp11l9c+zWAuizfJkiWCPAVK68VImCplwPH
pwMdqnhZh8A6LYURGQGBRYCmQNBNJ2sI96ZTXsVTeXIzn+1BspXmoShIZrgQ/MzO7m/rZuwDd/Zg
+rsPnihOWUnq+2il8zpMp11GI6Y3yWtX9o9eHuswB3usFWmNPN4TbVBxH131abmtsvrCNNHoaMU9
7J1D1kTnfYGW3jDxK5vzlZmDGpJQWLxR8GmfCOzMzeUI9Ocp7pJLx61haeujd0gb79wUxSUYsF0O
vpNMAqBhVZYtIDbZ7EWUG4jijeQg0+TclMm5UdRPuUG6hj92wBSN8B7J6oMkTtEsMnsHZUysJ+Q3
AUwVZ03QGEa7CJUcQRI7kAQlbfkyBSikb0Y3fFhCfr+mlpgDEoujh8cRt0xEIEEJdZodwqV9bUrL
3pgLslJ6F7hp1AxgKTLm0llOkCKcwtC67kdEQVYiZ7Rbnb3OBnBpWaN/JX76zE6S8ySOPQoxlUAL
oQZR3dPiWnehWnu2YcVgpc+1FXPtG9YBT/CDsJNY5bWpoR4yFpBVQkLAYVjUlH6IHQMJRCxp1My7
Ie4u9EGD2VL7x6QFUBZ6xXUOvGLyEu0Ykw+WOH251vvp6M4+y0uElsw0HLUtywO3xB6Y25geFz2+
WMqRdFESGdbAjr5GS3hHaWmtZkMNfJO43k1x+qWtnVNUGYCz/XFZKzVvUFJrI07Tln3v11tvxMuy
NMv1zFhgg+6fkDcR3U5WspGmthdgcoUohq1dt0c8qNiFjDgKGra+CLRc4ljdytmGxfyIUHbbR/oz
mRPJbjJjCXJpuHRlcW86w/nCWAMxZLKxB3urgqOHyj8jJ3ufoivf49fPgnFxEwXm3s2e8YIh4sKJ
OLMnYW3YBm6ojl576sx+ap6XKdp4CVdnN8uAkeJT5cPxzIiZncYQ5T3xGD0CvQjN78CHgKxqTu56
5SXEXzsZM7Bp9u5qSdEKhDLrOSgTyyUlOvf2XNxg1JfkwrBGXKKdOLUwSXamPX7M+dyu/JwlrzfC
kBtMcOls7loHk4CLFHRHAPIz9852UyWxRKM6M9dAoHDyfc1nAuKYu7ZrH5PMuHXQYAYVSkJQQE8o
z0L4uZTfHcEhCPZrgxPE2C6m/9mCU7lrRbvl9/vcpg2iHb/60oULuqMUpB2y3+WSyYezDkGoc8+7
GG2+NtbxWQ+fZNUPbWDVWrURhfwSuhniGK/5Ar7+lKaCsaYWZhiTwguoUhLK+xxvRSWGNSB0NKep
xMXac4KFvnMZe8Rr1nVSrrSk2lYy2s9OE288zkl2GatRK2/nCkJpoqWfMKO9YPUNLJUnHYaQ81MF
6w2HW8Nhmd0MxG+SDXuo+5hbcWmTBkxpFLBqZ9CiGd1J7UYjUnozlWjtF6grPPxdHWHXOjYLWoT6
q6+V0Ybp5dNIHuxGa4iojgjLzmKH5NFIe9QbcrRbBjCc5h3x2vYQ7+LEdvCAydg/6NjfmssqJ9DA
BYyq4/OFiTssG90QTfwNf/HvTtVCh/fndfTtc/mfLbb3l6R7+dWCggf/Xk6bH0wf9gD8FM813lr5
78ppg1Ur7s3fK+33AYD3QZgUzei5fn/UezmNXlBYuuOD5vznUHS1Nf3B5cDTE0VIEpn6oejEfyym
nVzX/TRsl9PSPzR+uFJagu9emF8YkNVP+J9nUPmDNj8DeKJtCuYLbzKj7wYMyADceqot49SRqshB
6uQJ2vAvw7D/6+f58S/54/MojeN3z8OlUjctBLyTUw+B0Z6P3pe/fgJT/YS/+kt+2uVE6O1NSVd6
MidvNdj3HnJrdAxCQxw5bDCyBN3wVMu9TK56YOtG8spwIiK0u7ruy9uIaXhPAe1EGx/OdWQDf78d
i5ig4OJvXgq1q//L35QW7vvXwkq0ED+eei2sDWMLKosHOSAxN+zTyI2Hcwsf71cPfnDDf/puEvz1
S6VUaH/4BbATOyoQDeS/+ZN5poSO0A+6N5/YhyYG3IM2P8/AjaDKru2mDkSKDulAxtGxnYjSkuON
gd2MyUEVBYOuLUHLCYwFGOGluvMeRzQx7S4vHs3COo6hju7M1FLjfrKKdGdlAoJ46PerMqWMdttD
zSYGKN7W6GfWE/MuXk6Dm2yKCK8eKlWo4bsWSnpBztWSgtN/7DiDo+6ui/wLq8/hW7vrAXu8OYLr
dMh14sYzp/U6I6S5xjPgUmQtCDqT2QikISEwFxuyt+bmsaNimsl6bcbyjEb0msyRdCp2A+SZ+8IB
024t1qYSd71NJY4nL1UybSeJbJhBDV2gj4q8yvIn4AerogAUIJywU3nof4MtUs6r794hFpM/Xvj2
T5fLmMAE6KduOek7ax8elvP+wdqBNjx1K+O836My2AApD+atFRzZcm+r9fSkHbJtv9N37kWyTb85
5V6m/xW9VlffLqP/lLK4qrA0dP/9Xz929X+8fBmGfv+RtfNceoX6yFbZgZy5clxTkgDE1v/mOPrV
J/P74+inA89PiiWPWa+cNCJN7qYvTRQgGsaYxFzvry8C48eX+Nuf9P1F8PNolfejtURinmLWu1dg
NiW+R/YiHeO5IDohHP7rJ/zVCQhjhXkuSUxIdX56SxkUTJ6XW+ZpTDvEWp8H7eqvn+BXB+D3T/DT
a8cSk6lmZJqnblgrE9qoBew7/+av+Lsn+emUFRONEfGu5kkMZ0tz7N070/3013/Hr25J3/8dPx2P
M/dqkB+OeSLJBDIBRjH3RqSXIp6+/S3/v6uji+Slrbrqa/+/1U9+qeq5TaK4/z8//rP79m8up/Vz
//zDPzZvAolr+drON6+dzHnotwtPfef/6xd/k1nczfXrf//X8xdiohEQ9G3y0pu/GBhyff55eXQn
q1wW5euvH/deGZEJg9aCPGQXkpWPz/O7QaNOXAzsCw82GKoypMzvg0bLx0hhWVQ/GJX4FnWX/q4y
4n98n0P2/jr8dgDxEv7pgfQts/gP93vWL4ZKa+aa+un6NXCLFVpVFKfFiY+gclf2gMVuItlhKdOK
9ZyLyy/ML+waPCgKlb0ujV0CyTuWGgv+FKu8eV1CKZSWcRy7+jmT9lPY5aiy+otpMc4jYe+X2IVc
q1VzEHvRUzfn1wO3541bFM94RdzAVhxsQhvqYDFG0lVmwIZ5htHUL/ryobJiQOaVf15axZUfZ/RO
lSBzwNOCVmSfXc3ZkiTANAYdQuukq1qkj6MxYLgvad6cBoKPzJh8GewkpVt9gcUHmoBxU7DEnsu8
KjMOzuyf9713sMLizpqn19leLjpbfM5DKNPzUKEZiHaVKyltgHdVg3sifOSY9yB4ROzcW5q2Zjvz
aYzdbTegz2sN8KKj8K9s0Z5hxjulY3aZjmQWakZIyMvIiM5jCmG02oNQ+VYVqY26k56TQjlh6JjP
GLH1h9KBd1FkpKzErii2Wio+TV5xhY8FarVfXdbNtV5Z2yJLNnTdJ3h6W2lNjF5xrKYpXPnWeLYM
YNG59jjY4QOjg60rpUSOhobAyovPhAXd1xrZCsWCHs+Y0ssZswm5VfJan8Jp3WVu8bGxD+7cUXv0
flShAfCGy0j3t+HInLRwoATNcriNcYnx3+jW3S5f9035UfJrhEAEgizRAH2M1c5JdF4b3wgqfT5r
Bt6HNIXxAc4zX1ezDyBptm4Svzobx/ALNRTWT9e9syv3RmNUH6DhPhegRFbS8eIgrhmoMYW50Zzw
4KS9fQ76F7ldk95RfL74OqS9sLguGDWmZfsxEjozLNMZg4g/al+HxkhZG1JUVVMUMFnZWrYiM3gh
EqYkA3Mq1wtlq7NkOx3cZmbiZyvlNDMSkq9Qvuq17RJzoXv1Y4U1Vhh1rjQNuApz0LRv8VzlZHSI
p9uJHZHHuH2aK8Zoor5Y5va+WbKbsJY+IS4po79EM3DjQZkoJFPyvK3OdHJImMFlcIa7x8T1zh3b
uSmHKgm8BHGjZizLrigRMZQYgbdiLvlkWuanumxu/YE33hlJjnaWS12GUD408moG50bU/o0E9zRa
TOCNMDx4mYY7kw89NbK/JbsFDQMzZ8Kfsm5Vj1iM06YdAm2ZnyNrwaRJHw8Pl0f3YAb6QVvrGYuH
2SPqJC+SEwraXbKYxWbObmCAgJJBvBItz1o2P/eDexdNw12Wozqf/KvMNBkcRYsd4OqGe5NoH2cm
A6s+9zYKvhDPg3tEczgyzidrRDqwy0ttfuZ9nY+Es25Ay9voPEjfMQlvMafuIte1C9i55Mz7c7kh
l+i5WshtqXtoXm4x83axPp1HD1tXW0HgacZbou8qSDFknYRmRLI7ppRgVNkyo+QTyP//aqrcmdnJ
wxXuZvYSuXbTSP21Uyk1tlskx8rz7msCbDqVZIMg7xVYxMlDNdalk0vWFqk3JSzbrWsw6VaJOCHR
OKBGeLdVWg4u9nLFgHhgnF8+2SpTp1LpOlFCzs4woOfMid4J0avtK8J4GjfBZs/RaBPT02AmCf4v
e+exG0mSZutXuZi9F1yYuVjMJsJDM4Ja5cZBJpmutfann8/YXVVZNTUFNDAXuBfobSIZZJDhZr84
5zsRwT1LF123CtyBbYtII8J9cKyMNGHlTU3sT6LifxbOSuKAQPAy+f1KCCqdtzCs8E9FR5M3548x
22ip948IfIw1tizlOCe0qZF8qNM2eB2II2q6+i5qyScKMw0QBYlF7Iww7BNiVKk0o4ZYo97SCPu1
CBwcVeYRZub3pMk4KoBfEIrEQbcLa4IATNE+IF59SolPamrXAjfdPwuVrGQQhOlDnIpOi8pdir8S
mMDPod4nlSkzLLzyyX1hW7ulIrcpSI3XMWU575HsJL8injxM7VZlo8Mynwb7dmyPS/AyxicRWbcF
Hl6au6eEwXpMXJStcqPQXYH7IUmqUplSemJ/Ghz0G4NGCtg7j7ZKoNJUFpWjUqkylU8VC7JDPHK5
quxuYGrtoAEgWwkf7WzcFxLGh8q6isP+2ekIb9KJwaq7C+62VScR6YVOeCNUWFamYrNMKD9EbcbP
BolamYrWgufOMFFrzp6K3RqAgWzRySWrBWTuqlXxXJKcrpG8LoTtFKsgZAioLkMPPHVP8C/z5k86
gug8Fh2WbKz+0nlOynzc4RlBOtfVy3wxIj1eRy1/Z+KJ7X3okkkcB+uS8+sYdIt3TbBJea0vTJ2J
ZhAHRESXjKGn+9aLmWXYhHAvqsBicXkkCL/DbS6Ns1nJA6fR0Q746ACwXTUdzBKtEYB3nIoTYqjD
lWi1Pel0FyHacF9E+qc1658Yq965cgBB4LiYdc3PXcc3U523zs/YWkbpp1OGIjst2EZGO1PH/dgF
tKzI01+iiWiH2eiSzciMszZaBKUmLJtBU3EJ9inkl129d/rREMFdGjh7TRvNS9w411Y1kW3d58Y6
zfRHfv3c4kb2WU3JcSANb1vV023T2rvEJQ5ZWk6xLSaiKGeQLhiXiKAz6vGl6AAATdm9FLNvZ/IR
LenNXKOps5f0MAp728TZzcBzsmrLif69QjQovnO43nQepHQcTOwY7foOjemWAw7Hs2i4so32UkQA
upzF2Bc2lii8X9eMsBEjBhEBBIASN83U8XkYwwwX6wJVwEb2NyEqr2xMT3Fpvi34eqDejKjLwRRi
M7hQ5L40TXU1OZkDlkbbGNiMQOy8crVsh9G8a+rhxJO7d0xbp+eP1I6zWidxdh4NrtrUuIqD7hRk
5TPT4ZcxSJWR33luwX2VE0EstOGwCxhd0eeHT/mM+N4gMH2Jj41ozlMYbqvRZEEXu7eRROVva/Zj
Xw3nhZxZ2rH3TMgjOWkMkK35agBJvp+bmRXjZJ9zA/6inXMQatFOl7FNlLIgs8G8GvXl1DeWtQ4h
9aOtsJ+TMc9vrEBf0Ai72koD1+7DZkCrwhp6PTK4ISmnmIkRc8BnL82+ZfHpN3ry7ozUMO7U3zhV
a+28BsYJzMf2Kq8bMsWs8ZQlDqSMMNilWaDtvHxMqDmDjodLEgwgHuxOO9qY53dQMg8e1RYCnsrC
Rr/gsov/7/Rju8/ygoOz/WP/9f9yO2bRJf/P7ZiaVh/Lt7qPi//ekakv/bUjQ0yPtcagr8CP/kdK
K6oQ6dpcj2RW0bHpeNF/nVW7v1hITygydTDeOFl/kn5AfXWNf74YVlf5r2jVrC9U7+8NGTMruj4w
3hAUhaXbTMf/OCNiMZ1Pk5ib61nD9A1JqzeYEhaFmxxsVE/XsWAyFXH82rLZoX+St/UMaW4J9Tsr
EHdp03+WOlafaYrInRlOkWNsB9BzlFprbSCpojCu3MLwFxPo1CCm97myrvSMG83q8wve/m0QOldt
pG3LWbtldffozMWzxC3iBjW+ExQUBpqxuTik3LmRxsrLjqyDdKOnZh7XxFHezml26clHIoDmwgGA
bt2ekIcu6LkMToPwURLlofGONlkzvntxdw7QE3SN9c0KMRR1SgdgbzvLOw2ivgRRdPE4J1kqrcOo
uvQkAlhlfUYP/ewIIBDku3jYRbWULstILmqfxCPt1+3iR/rw6sXtTRT153Cc12wtd4KgBRJukKsA
0vB+tET2qOqlJzOnPy6e+4ZkgLZDPCfJcNBazx9kSzLdAmMi8fOKZXnV3M/t3LLli69D6QBvJDop
sR9lm++Xub3L3e4d1Qqex+KC0f5qsFUX0R/zZt73dQu5o/rhJNWFmTJJFt7BCsWdE1E/Ayjad04B
MiQbz2nv0B/OqHiD9M0qBZW7vY7A8q6YIl73WncVmrm/hMOhWUi/cLS7xJsOhh48CZWFrPauRWys
akI/AhUvEwV6vVaC3djNRrhu3GTZ3Ad+GdtvzoB/grtt51YSe+lUPZsmzqV8nN4pYLxw1TQYyjbt
7I34t1q3SfbADKJDVzZNci2WhdDjhDwWazc0OJc9Wm1/UB5ZZZYtaxaRaOTu0rKrjoVNM9Eqcy0q
Hes8yWXwh5mQ6myKSxwOhLDg5E/uTMMEgKAzOMezmxQG6TSG5254S8u6MDmQDWXyTSpSTDtl/O2V
BZjQLum3uIJjMdd+p4ZdgUX25KLMw0y1IRuF7aPbdEQ628zPE7zG9AkQuZMfozIhe5r5oOFKLqlD
cYteL6bcClzLxGSPWKnQ/GNpjhdxhlPyrCF6T86Nsj7zfzFBV7TQFr7oWPmjS6JFlWG6GtqOlA1M
1IitSd+pxHtIDNpKV1brqmU8waCB4oPWxpmSD0/DIzsI+G+DMmunpvsZVt63YjYfJW5ufn6IQ6WO
AkhZva0KETq4lMqXRcI1n7L5GAB4VnjELTe+HvCMs4B9EtP8o3f0Y4KnnABMwj01Kgbc5nRqLJez
+kIJXm9zZUk3lTm9xKVeVGq/S9j4xowGy+8FLdpoFC8j0Ae/rfMPrVTAyQnpkgNJbJuk0yHQsl2i
o3L3lgFcFxIJ4kauY915B9byPomBHMsJpQwWHuzKaMqdKKPcxHpo1iRHVcBgasvcBaX50hEMtOKY
ojWTB8rnlp1G/DKHFi+uie9xUOe+DSsMe/271jd+awKMmALdr4vg2cKQjEgKrYnZY+wnmoY2yVyL
jkpqaaqHCA+JryfzTPonf/cpCF4sUFKYiQKHz5e1rVMmOB7Trc0SpzMZ8zyWzegSVmJZP3IdPdIQ
hB4tKRuSNB6RUdUHMqBsfrbhWLnt9ZQjOZuXniGWdRgj/RJ1w1Oh68dudMk00wBax8AzV70+XaWR
fj+G3UkW0QOdNJmdrL2LJhlWrhgt3560q7h3DZAf6WOD1gbHf+X4SA0IOo2itNg2YxtGa61UvXbd
6cTNDtFB4E2PskGsCt3VdkTWwQQrqFGLNi+3U28e23TGw9liKzSm7DYuWZ99XcH/27Ph//9qEfH3
tQgp4n+lQFVf9VsZYqJA5X6CXC1Buyv1+08rc6nGv2BqfgXp/F6GKJedCzHeALUj1Qv+OhiGjOFY
Jq/FqFkl6P5LsHgqmD/szr4WO57jCZOttmu5jsng+uddFZlnWZXqiX5tWhL/lqQiXqOG6b83Sb8Z
RDqt9DxI9yxhCxTe3lPQkakToInypXTeuzy7d/LRW2FP9Puu03mw4vde0w/tUF9haAvZfuJ2Q7MB
zHLotqllfBudKdy15tie8ro+1APP7BJfW512IOPpzIeVcWnrEf6KvW8giRdIgbsvYviro+Y78PO6
0S7XpbbccLgzxYvHO7axFABMitENUZcwYisr7UGL4oasbjZI6P22YWBTwb9k8fxtDDkCEpnctQ0h
UE3drqGxn3K9zjbEFO7msjTPeiWuI66AlW7giZbVZSj6k9sGH5U3nmL2OCaCtVsxcf6ERYCgh5lk
aGqv7Ko3rWsab81cKsaG6y9t8xSb+kfocHSPlVWjmMweJ0f7YNDFG4H+kKbuec7CaGPwHgI9PcdL
9dYmZbsdAoa+2CfzdWTWclcwAw0mjtvGzR/nKrhu+/Fbbncl7gPzanLrXSdS7tccVR6t59aF6VsH
8jo1iVOS47LvR0PHmuQ9JTZD5FGeYYXs9M7lsnaT2yLXoR0W05XbLlcjpI0Ns9+XOAJyO5g1kd5w
f+sWU1Kadi9yGU/wThgQtvmP0m3OpmGFQFJDtk8i8guCrdATEgjemfs28JpVW4cPZtYQKIB01XVA
w452X21wGnwUoXMfBvMOIOGENpUY5dI0VsyWPuEsnRa72NrcxPzbvig5isXgupvSjFtMed1N0SbZ
lTflD/ZVaai9ATFnNs+TD38w8p2+/QEOeZ84zc4eEPGyfg/JV0rPRl9vqrJHs5oiDhu09t4Ymh0E
pVcxGzsvxARQufLUJlhZu7LEFVLkKB0ibGwtYR/dkq1RS21mVdMJRMfrdGnOlUd8aZIHmOpna2eG
5SmVAl8knqcUHZpIx2MSdck6auZLg/1bF8GpI02Q0omAvO89iOvnqOiUa8LL3ZUNS+/OrOAMhiuX
Hc6tXnn1HUw2PPnGFFM+69tUQx3Vm8EP8q4/A+npcBpJ69LRbznF9NTazXuX9gAhy/LWCclhi9Jb
ptgHl+y9NZplv5qwb1gOs7dMb7au7C6GlQneXLWpHcpTa0oIW53EhiHvyNzNWdYJwbHrChhtR81u
2fPbZJt+PU3fANhudG9+5A8drdxEO8yxdlXUyLpSNkkeg3EQ6mFCUiUjtiSfSX4DszgBlWYZAxy9
ezbqxo/kHPpmPm2H3FUi0OQKmzwiOAZ9cLl3o0e4YJXzB3nqVBLv1KuQvvWAMw69CHLxwvHnvPWj
2HvJkyRdtU10NWAO8pc69rZTjo4OouLeq/ULGM7v7Sh4COBQTQ7dgvBUwXWG93IAc8XuwwSoaI4j
f1uJbhlVTNt8J2DzOplcv03Egx6H+cqbm6sldWxoPLB4U55C3YVACYtyCwTkXvbBZ83KhJ1Mfujw
r1DLD3sjdFDO1th1WHoxtKCR4+ZOYjIRoVutI9GfR6c4TSTfsSAC1hq6ryTRrTrb3eOqXTWzvvOc
/ia2h2fdrA6BmJh/6c4mTTLOv6nQmAmVd1bvERe+NMSThui7k72qgap4uAT28lAjDK/N7jYw+yND
oBVeVQab3uwvC5Nsu9lYBMkCCB38FtE4p7C19WR30otl6xJQtvZmDVWOrpZoDOfM/ptF68GkX1oH
g6GnoerfMLxFc3vluTDQF4Iet/YyHnU7hZyCQzKtQkhjWqx6JNmD1pxurEzbphmyZ8/9AbBxW+QV
FX+3aRtX27IqKNYjCIu5q246x32c4j5a55KmZsqlR1iJmb2kEG/9sBp+JG1/IgsQZWhxSKChRx6O
2L6J73ryMsy4+SHDedP3RnWJpmlbJ8tjapjLCq/7Eyfwpi3kbaMFJYx771Wzm+epnk6InSplB0c9
WbnrzohOJrVnNCHjHcOT6DqOcTEfgtpLCtYvxNfhaGjTJ2iVY+obWmFstaUbGTe5m0yPD6bEbFSN
+eKTE/Ah6OR91pHs5djsectybTS5taFcCP3QNLZTsyR0PADksWeis0zPjHg5LueJBIIyfi4T8waf
yJ1IsZUPJbTzqP3O2trvdO9IsuF1awOyQH+9bhx8pIUsHqdZe6qm8iGL0SWPheVXGV2lO4/XQ4oF
WCzu/VJUTO37pL9tkPgSpukke6H8yDZkbag8BkitfwAj/sfFtflHeYOS9tj4JGCLSQMrDHCxP5Yn
be0aYsZhdW3c56sXuR1u6vWyQlv69nDXnsnh25Trbh9fyd3oR/tyGx0lbeQ52v27wP2yWCkJ498M
2+LPpnn773M29VW/FbgqDQRbKBAK+c+J2W8FrvELcy6GaRbpHiYoit/nbPiogDdQcjJWsKBB8oK/
FrgEhZAHhvVKUud+Vcx/Ujr8nfLhL9BvqOVV/Q2xkoARhKF//AQtqJsjs4z1a3QYyAXzhZRQ41sZ
foBhXCR9dGMXV2TUKhSkx0C54t8bIifYE133JPLYbniX9f038snXwHynXZtGL0Ujd3Xl3FmFy6VA
9k7rvBq2YN47QUF00lMnHaI6Ww5SM2TzPhUPqARhTnh6hirf6HxCKl/Zuvm2NE+SlToVytuiNjrJ
8mIKrV7nU3eMuEm8KXEoLOJ928OJSYrlhTtjP5LFQ7vb3UxO9IqP/nFxyysvAWZhmznAKfOHNhbP
ddM/pUAhVqKX28bTtouz3LBAcFa8sx0Cih6ABDmYMdsENOx4S4Lx0DGfAXhJpgdgZafWtk07EPuQ
u0/1aE4rxQc4ICIwVkQ5nxI9gxE2ansUAQKZaBPgFJ13pZgOJrKAsbLvxgqTWJc3j5mc37KKRAYb
xlYY6c86RberfJiVPp0JmZWMbRxtI5Niz745IV2oP7EuOoD14YYK5HE2Plr4umHQP86uHKkYwMEu
LkwvncyHrLZwe4lPy0E160nj8cuVO7LUZ1wZbLsW9TjZMPZGn2YMDfPOdcdNNcRXfcvvLAwzAf8i
TJSGBa9tc+kmzvVN4CTlrpOxnE5dGc+rRVR6dyhdN9x0DpekYXZsWOpSb5wNwE/qwbZVZO9sqEeu
G2l2vv3F/p6+OOC5WTb+nFEfh1Fdw1gj+KOvyZkBI14onrgWIOCzWHSwy4I2DmPXH5f2u6045F5a
/2CXaa9mEOWzYpU7iloeyvTOUWISx3IuWmRyIZkVr8GGt9Sil2wSr4ULBX2YhntmV1DGFSFd1PIj
AZluooNZOtZLAzD10BZ8FGBC6IqznrbmqVHkdSI3rA3QI6JlFJXdS/cial7dVHZb0BMZ2YPu69xx
c1TCTrBZjB+0QIoNM058cjrPLxQFXlc8+CzULuFrhikCUDzZqB8CdryEIW8WhDqny8kuil1SVreD
hZ8kgjpfCVb5Nhz6DAcGvCcchbr9HCgqleRfXGN8Dpf6NoZlPwutpW95LaRkbjtr5Qmj9xL7vBSN
rJP6mh1p2KAYVGpRSwbZRCUw8hdPovoO5GF4SCPW0HZxYXiEZbDCJQQOKWOepW/rOW2+//te+bpX
LM76v7lXWOKc37rPv7Ib8IW/XS3mLzr3u40x9os1/PPsBCKbCddcOp7F4f4zb8D5Bd0DyjlsADrX
z8+kYecXPAoouOX/kt0A065L1h/1iWP+mTZA482BbFMg6eVNE4rNTHbPT7+Uv9AR8/7Q0c5hWRw+
/vM/1GwGXgIbIvQ+EKGk+JO2EzJ6avVO31+3IjnGzpOmX3sEkYu9Edxg2mqNzd9/P1PBHf72O6qf
6CfjgQmvJoYq0JP222tUfyHuxLktOR7LsGxvx6Z0j0PHMMROCalpbbpyogrqYAokKTydA9m0sL9N
uCcOtoVEZq4r4bOXJ/rFjdBtkdbgIgWqGv1j0NIf3qS9FAs6a8MUQDjxbCUhu9ZixnJqmRH0nkwD
tRrG4V6k9g5FYbxl7IRvtEIZE1DurmMCafB0glkH8kbMtRlDNXPX2MbuXNZiyC6ZH8XDlVYH/JXQ
yuUBrSamTR8xxmq2x9sgQDUbaNa+LI2bgZQa07UPhY5kI03CU0lSFGOIxwaO/moovg2Lpe7c/eAs
Lfbsdhd3xA/gE4y4IVaRXY6kqzftLojmc9k7y71Dzc0wXEJAuC9B0u9tPAOJUdT7mrOou12+TAR9
3qBrzNDGd8CBLhzttIRtt6ASs2qoKe6VbcOeF/kVGKTDlILm84KLpqcXdBzPAETR8kEXIErd2jZm
/F1I/QNbrtyMUpynShwDtFNDWl11wUivMx9QotzoBIIVQe3H03wFJ/aqd5vS75ZcZ5s+ntpBf657
cyMEqKu8WB5lhr4fRVZ6ifvipki7HT33JV3So15SUkwVuoG0Q0hWT24BgzAl9YeUUsYnj3U3c8Zq
erg186o/9P3YAYk3CR6J6/kqmzEncmGgoGQvMl6LyL1r+8ZAVJZ1qyhqtgaB9UEW3/SFdj8OZCTB
sFkhm9u4MY7evPtwIuYrhp3cmuG48fq8J53J8D1TORPm267H1thSFdj0+WMzbBm6+LTQq9zAkVuW
tDbiJg+4j8eJ3rDL0uFumqM7COGHhuQmt3Jf6KXWkyObh0rX0MDTNhYQwQCCY7CELLXguhAMz4jM
+tRpAYsekYIwEPk43sHME5uparyxNbynQXgTxcNZyGRfy3w36RKBUbHGon9q23KPU3HVLh3RmdqF
4GzfhNLDQXE7w8gCAsaqzKKaAYz7JJqWfDmSmmvV5yEinffpKLNDk4GNZZMCUFA7pu3yAP0CBHHW
sX4q75OBLI9k4GMNL3fdu+ab1ydvSBvOZZ0lCEqJWB9b6oGgHUHMBoO7/zpm/r0tEIjL//bS697+
zxoK5F80VEqW/tZ2//kfmvGlTiAPkcUAwetfUu3fGiqWCQZ9E5Qb1wVowVf9ujFwcObZKuuaIGLu
PKUy/7Whsn/hKgFo4SjS6Ffy4r/SUEnVcv9+K/FKro7HjyqTjgqZgvWnltwLtJI8VLe6Ltjkgs63
GyL/oCtnU/EcNxbJdgmPbmsCPM5Soq2YbR5qafwYSp1rJM/H46is9uh1E+YR/T4sww15jhJsNPdE
WfTw4sikSJzkfQyQ1BpARzl5ITdkhPNtnJzZmFbN3k1U54+ygbBWj9ZMQuxyNadsxMOO6LH4OUis
hxxjwLWjWHIo3MZVr/hy+mTExxzkXCDIkUk979ZN0QOzJ/tEiNVvmeGPD0Xt7alKTkk1zVt9KjZa
O93VBg7XkrlpptVsAyhDRb2Tekt+pJyucqe5j1pm08z9z610iI/srF1K5Dzhi+33mYU2l2g4bBxE
wWsrDsjaq+9BE4NEYNNHmcmQsokP2Ju/GUbkcBSNlyFUoS5LyMy/djkhSAkqY8OfUnIis0ZBu5e7
IDTmvdQMfjV9PJyyGP5dLhnCV/HRcwlMSzKYQp32kSQZu8i6dlZhGe/GBXF6HTgNYQQprVtEDGFP
5mufuTdWWKAT6RQPnLQ3cGh3LODvyvbDdMsfDi/Xz0pCXdPLRUb7FjGJhL6NDko4HXg5S6kxE4Md
OcTDbMBFlgmIIXO7d0vvDhsdStXcONdTMm302qg2sVTxhnyGdyQIPIgFNVk6eL6ryUfCtb1jPSSo
L1iy23Vw0dVB7gbpNoizU1t2N2PArZWROjKCUQDe4xsyfvZEK3YFlQgpuhgTvazeLjH81Xp+YWW/
FcXwTYxzdcit4W5oCfs0lvGT7zwRr5N9Dk5tXLP8w/xmzDeMeYGYp9HZg4J0NVjNu9EEzqprDJOF
NQVPpOUOk3LIRpu5aGnmlq1UBRKb3eoSDppzrFT5NH1VUs5XVWVVmPeIuv3gbhmPg7RWbuBsm2ra
K5LQLC0w6kHz6gnGo2IuqH8qvgWiABq4fTPOLe4CfsUuajQtj5ZHqyoxdZhIc6zKuXdr+9QZ82cW
1UwbU3mXBVF4spdhs+TDxYwQsjCYRByBLq5oo49kqTxUHs7H5MAZsFxQiHLwWsB+7W1Xl/yKmzOG
fdd3mrFCBd1AXGcvUKdigwBe8Al3YWVOM18xDbjfx3DeJkbwI6uCm6yZe8L2Oh2VQl+u7Z7+Fmf8
qTYLfbPodr0Pe9Si2OTRDx/HxMTnH5ivCZFCCljRgafR9DM+f/mp60H6UOqi2meDy9TZyCLCY/59
O/1j1Mdq929up4jr569GfXzVTzcTcz6Q6hCVdM+xGdb+djMpmhLub2IcdHhFP2G1hfELSQ5cSup6
ojFTrdo/byZAS1AhWTC56O3Ev6qpk1+jvD/cTAKInLrmbImED6TSn7oX9c3h1mQ3OucWjAqkJIYY
n0DDhruu1q6B9XDIQo1IMwZZzezu65mYJZegEWRM7mcJa4KYyQdKPdZnBh5Wcp4Y84ec3K61d7N+
a0OsIPFpj3Flk+ea8g3mPvPP11aCgVGwC2uKNi30i8hJznPXf7L03YyotIBGIHOGl1FP4jsGnV0I
rAjTSElCaZz3+wTKBmgato0hm00JVyLZQLuPVgZcDhvLrUPLNypgx9yIGBuw+ZYxlDB1/QX5m9w6
QdCvKwX8aIwsZP7F8knY7RFJ37B14YN0ihNiJZs0Su6DAaHUpFAiQzXh61I5aFBGRjvX9zk/3MnC
KLNmssaDWYAl4Xy79qzsg1S3ajezrEDnnlqAZ4OHJit5zPvJ1xXohFXsOVXokxigNaFoVYZe3MF1
PLEMd2ClMFlkrAk8JYSi0slGgzpd+JicbiMFWilc7wjuDo2U7M4eLJYaJgtJqrf0edqmV7iWGUm7
Dr/FUCAXzSxup6jIV4gpXhNYL3NbcS4p/AsxXvl6hgizQIbBdOGPChUDe9NhnxhfCSgyCTQZ5rr2
Plkm6JsKNRO1ZGQZ0Gd6KDRRws8fKjDNohA1diX2OMuqVaXwNTn2oBKejYYNagzZScdtTIYQuBsd
7k2sYwafFQqnLKIXmDR3UyOgLLlgehar34UKoFMrlE43e4B3E76O0FPPxwgkdnnZX5el+yxh8TgK
ypMqPI8Op8eA18P25aqJvfgAxcddSwX1ESY4J0+Bfoi86FYJ7J/AKhGSe1c1cD5KFuQ/IZwgPSlf
66TGT5KB4+3jxp9Ih7UVU2gcqBwMMEO1od+YYIcqOSryOdR2gERtUT322rAr2wJOZ7nFpOKheYqJ
IGkHD3sMIBZbEY5cfXhhy/rZDihRQSCNcTUTZ4eJq7DxFsy8K3BJJS04CJvh3gWkhES/Xi7dcA7Y
DM66dwin4toAvWSCYMrkcq31bKkH4EymKh37vlnT0S2+uTTkSVPf8AHFxmBrjANrWuFSEZ+KXFZr
xDc5om+asVwffjBNTP0pt5jUqo7IAh81ocAawUk5ydQfSq0mdVuxpoxCHiJFn1q+QFSs8uOVW3jT
TtOg2khFrCJGEDeWolg1kJ1DxbUqFeEqHwTCjk5sexxppTW8AIz8DjQ62ZSKjxVa483cJ0pZbyNd
69hpchwB1JJ9YbJmDrPuxNmjIiorBKpTjZqxyLuDLGgit1YP6/5x0FPX3UUkxux6gawxHOuCzDiH
vSCcsnAyNm6hCdJTBtNy94iC5gogGokjF/C4c3/v6bnR3Y9eo1mnfurx4UkgzC+kY5rDddpV+zKk
+KsSuvdSpIJ9qwxXNYl4RhPetZCwWcRPRyGKfttoDXJSzT5JZwKL7QpBfp79nZ1yyzDAxtaYiJdU
I20zGrB0GPpiH62SD3NasG/gv2MGlOW3KhBvsKnZULpQB6yl/oGqcwBNo6KDi9Fc6ToJjU1H+sec
Tue5av0p9pJtWmlnUTS3WtCfcrf8NsQjnF+L4hnJXWvgEgorma1bazpGM1kuI3t6p3qL05I0cOjl
nUlgHrZZqrluvNfN5BK03pWWzK9ZZP5YDJ1XCeWPdMjR9MW+thwZl5MdLBvCGpu7lMDQlR6RKD75
E8TiyDnrOEp8byrf8LsdIsvCIqJNNsSxBT6XmV9sR2WWS49ORNNuTW5Mf3TkwhCmPy/YJT2JNYXf
QrV3ipoxSql3O0sMnO2E5jiInDZLg4q7CLSHLvUXGT6bDcRvVyQBMm16Kjf1Rr65spIQ/mwtHopU
Yo/YJMThenQZM+VTNW5YvF9VLvYS10WSGhrOdTwW5z5z8vWErsgrQJvkLbVZ92Z7I27IIb2f6Xyo
IOnOAuA+a8DKj0FP2mfPrqnMymOipfyM/fLS11605anDtNch4ILWiom37D5bz3vkgN7qeCjTPOrY
jll7Kykf6wH6dIwWYgj1A/0cvpnqzpPle8xFt6KxvQi9OwnJc0dAe4Ai3mjWUm8OoYIjzt0YrkyJ
SDRK04OHyxcrIno116x3rYzHdSza6zTub6hEtoXZPQ052tkULZDoTT6AvZg2qZ4PYIUUNRCr0I40
zGgN17BkezPsCk0zdjYTyUPHL3RNeMe1XmFbQsR07Atawdpmsd5OjxlA781ccglyZG21GCiVNhqn
jDikNW5EFNY8aafQMG9sA8GY1iLh7wo9ZxtPCip2aRiGVh3gGrYOQsQ3UZ8w9i3DLTp6FCBxwAEn
x/2SmzwS0r0xCaFAMY3I1S6n7yBHni1ZE+jjfF+E9X2y9W3V2i9lGr4QhWP7nRUfgrx60Ut3b4nm
fmToZiXa2jLndK1nqBia8U1Ji3rH/PRS8kP6+HYxHCSynX5fCHWI48PmrI/W/y67/1F2Mx/5m7Ib
tno8l/1fjIT4up8Kb+SehsHYx/5nUNpPhTccJqJu/rFH/4kuINiegCmVOvUaoyRD/O5lofD2PLSo
CEyFjkuGKId/YSREKtufR0KCORXLfKDLlPESTeof1gZG0Ld92tjlzdToPGADIjFRiYFd6biPHE6i
YcZ3TP4UW3jSNE56llNUYpVKD+SxlS9xHrRnxl6w1Syrvk84OPZy6tvLmAbVR9UF+c7JWNRGmYP2
kHlHvK4YFDNEogi8aZu8u66TRLxqut1tjcCU7ponKYNtEBSXNKy8D1eL7uYpQ55jGNrRDKNxtwAo
fezcWbKMZHaDXqk/d23kYHgpwPg6vZZuDUkMmtXrTKGt1vwsZZ+9SPCm+1DiGCmqoH0biMPbQAGN
N5Al8dslZED20VDdjjTYGXj7LeuLyh/A4QPN1xBMfS8RcYuTUQTLPG27Mu13xtL12qcIvSS6gGpH
q1cHbdFcOxHlohMaU3QfJdjr3LFvyajiEHLGi0tMsr3SQ8EAiWDf0XWw/A0VIllJFRGfbA0P9Yqw
nvk9Qb1J3AThEx7Lmld7zKw3GNiyXHE3Fdswslmu9xgqurFccJRLKnwwgDpRx2zY45A85aAawnc+
SfEa4dfyFrTR8mnH00uj1dsijI//xd559baxrOn6ryyc+xY6h4szwDBKlCjJlmXLvmlQwZ1z7l9/
nqIkLwXae6+hgOEBtuZiY5asJlms+uoLb5AsejiJQk7TGejcS3nn0Z5QmmEZwfUm5NXDWZT1MBhq
B1Rxn2S4agSdFyyqpAZkV7QJiXVUfNMRADyJHeVaI0Af5xIcYF/u2okBnwNb7cq8sv0cCJ1UO9c4
hZjn+AjJM+bqiEWotZF9cSsZQlwbO7eS1UkrhD2tSd4nF3gVSbOyboH0S/Tz5l1cFPWsdwNoOlJW
nQCnTT9T/cJnIUv54RH3UAawwuuetO7MCvVwXZEgIiWJL1o3Yt9QRWP2fWx66ZTNC4zZwhiUCZZ7
Y49Jd53Cppw3Wc9EKujzS7+Ny2mKUno8S3W9rSZVpUNhQt4aVFtvVDNGX6jxeTBxML0k/Jr4P8V4
HPSd9okuKzhIOTOVhzzLx0Uh5gAOsX0CzcD4TwtEeYzFdCz+EIuzeJPuGEnr/NWLSExzXUHNBeno
R37gr0isHoGosPH0MjWN7gPh9rk5b2Mf5ihCk55+OZxExqrPzXng/LT0BYJKV4WitP6PIrH9emRM
c97C6dLGJQiKgMlgWuDpXgxwdSRyS3Ka4cKuvfLSCqk7AyW3brJYV1dDF0Xf4UtbCxtFszXtT3eC
qLpPw7Qdv1pOV1/5chYvx1EhejiZO7ekuoSLBbvaBikbx+DzW2GBZwgzPKyl+PvWlvUZUnugfjO6
l4gLr3oVe52q9utjJdciGDwyiI60c2fINCCHn1f9j8T3vRXj0BGjxTqc0QrEb4ahAs2N4aujFlNf
RCg3sVaNsPirM6k7TSNs/8qs66e9sALsY/mC+XhGEYssqWMWeKrjHEjTWRiba8jsyuEo8tswfMgH
pdNRrktm6JR4gpX33e89F1peixtJvgpR+Zz2YRqdqKPTTWswZZee4t3I0bAKGq1EVzX9ZGBEMQ/k
WlrWpjeuRq/RVr4P1jbW4lOEYKoTZsHODLctHYZwqs9bVXWPTaW1J9RP0apIcgbNWftpLAGF5jFY
4EYyRhy58eSKoFihSnEeaoTedmB1pIY7K4AvMMPdEsnBSqUfZXX5SeFXK9iRPwCgYbMYwzFjNBTO
FeQdfK8YaygPfGGkneUsluDSu6ZyHOoSWm6lN+2NdpnUkSsoS/mmzbxwjYroA6xKCFUI8TI6oM3b
0QBj+n1latanxPK0SdT3S7WNv6oggZwz3anBzal4ORbKZabaX2WvsmhfBCdozCx7ovDEKoy5C0+N
Fi5yprCTvHVVUZBbaXIKr//BMLJmUZndFRLR1FhUF9NIBtCcJAhqeM5xmmTLVjPOwt5Z55289BVG
0WPsKVPTNS/BPy1GL7hIxgC6fZ0sHD1Bxs4Y1gblcB5J1yAPuf97HfMjYPxj4/5I1PJW6xTye9++
661smRnDNYQGwQpDXSTLq0Rogw/JeRExjxD6IIhYCz4MeRnUGPRjzuDt55yKJIjOFJgPDZBbyp7c
cbWZhQf9mWeqwcl/EuPHYMyI8g/BuN6ACYs3TbUjNeYvfwVk+YhBqWXqhmo+uYv8CsgKjG2GpPqT
WwlZ6d8BWbZQ8sXPkT4mQCF+9RyQwQhptJExKQewitbBP/IkwSLybWpso9DHW7ABMhEJZd76y4As
2ZIWlX2cXTS0Ecc1piFGeK4gBaTOa9hTl9Aa2nqaxMa5gTQwmrd3OsnpvFSTL62CXS1uZ2eFWn4H
I7GKq/RzkASzWlKRZwrdNepEa0Db0TS1uqWntR5Cg9EZ2dK3MUwfYET3aFipVTeNzOyT4WF0noCx
8VGAbFw/mqlo/JMdhWuSz0lP+35Wam2q3CJHOcGnyosXnQeJ6ARCWhkgG2PWHoLmEjMjeStokGzF
Ddyt0IHZ5ieW0D4oLGdlbuUQtK00gruVSXAcUt6zMgyq72Hn0vBttURdtE0bjvBxwlOrQsV+GjtG
RWeiNDDF3bKP4XEg9ltsWckoUMFQBlF425iYIXdx+s0SNGaMlLFIFMRmGM65i02m1UF6DgX9meth
zfVTTFXUTCbQjubF6Mr4TSFc6bbXKixqqRxPaljVLY2PtO1OGLbNWljXfWcg24d6iw0fu4xVOsvB
Bo3mU2jZErYBzboRFG4LLrftQwAqHeVzi1gaEmxzQDXnNuxvVSsnidQd400F1Sk59mCJe056nsAa
b7LyVoZF7kCMVWGV0wuF9WIdu4p3YWKTNini/CqGh26lQsZEXnZG9bms6eP04ErhrScWyT88dseu
VrEgtkNAVZFj/Jni1KXDfNdgwNPaBJ0Eizqr1i4MedTGvpcw5q3GnuUw6FMUBsYsubBh1jNMPk9B
l1Uw7scuW7cw8FF3P0fagl4gvU4Y+qGL1xuM/VEzFg0Mfkh0S3A/P1QjXAAjXudafetlUP6FKoZn
MUspFYwUlKWNNoAiKNJAoOH2+zOUUs5LU0XWgPt2lK4N1AViAKKTGL2BPEpOKvQH7MBG2794YJpL
3yf+xjDlOpN9zLKkhZsbZxo6Bip6BnLY0ggelLMOpYOWNzF10D6I0EBw0UJgZIRzA0R6NBJIxU87
NBOyCkCBPZQPpaUi59N/LoW8guu1xidAPsvA7JBecHUMO9Xkoozl8AT6DQoNgZrh5SIKWrTligvZ
NM46hS3VOPpJzCB5WpgdN1Dl3A9efy73CaNPDfKS96kvanPWA7xt49iaaUXxow4Htp9mItjtLiES
DgtJc3/Q0153Tu8v7KT5gh8p9BsNwp1ew89G42qiwNmcaAlK3JJPOzRvpRTitrJ2df2zXsJ4BCXG
BKDnG6e4uAxzaVnpmC7SyzrOIWFhGWSFC3hJ6zpslpEL6hZWlsyUYc7u4NtSSaCcproswLBNU706
VTUuQX+owGdh9+VGZ1ohLRWGR4lZnOcqWjVdkdzlesKXMUoAlipM5tyBxarNT0ijnGR1qM3KLASk
FyHS647ITEiAzzOZ+bzqI+YXBvlZEsQMOmDOUMvd1JYOPE9NwG4n43mjaOs+Cu5NDRKiZKvHbp4i
Xyic0TEL+Wym6tfaMVcS5A9bauIFuhU5Y5hubTgKwGadCJBIMVq9eYpkS+E2E6YSxSJshrMMWMfE
1IKLKCquW7NBfMHvv3imwX7H+iOVkM+wows3ZmlAnMD8L8NrOFzpFGN2DGoNqTsbMzJA34DO9J+7
f3v3GxRHv7/7v5QBZqnD+4tf/Nmvi59yC+0WhQ6W4Ja8sfYxoStvLcqEpubTrc8kmgzBseBUq0DY
HfsV6YT/Lsvc0gxGZbjQ/6QMs7bY39eTaEwoYGerDv/DWxE42xdlGFOW3iyKKrlMlVzX15XaQDQZ
mgDGA6C8TnUYGFA5TaD239H4+DEKTX5IflfojjGXsm6HFofkHPn+0k0WhdDzr20S2ka3zmWh9c/p
weQnR+/DFU4AMNj8hZqbwB5z71wSfgHIStRTwvVFNdT3kkjCDae714XLgE922wjfgcwOTnvhRKA5
4Voi/yjlzJhlwq3Ar812VgsHA2soUYCAYYwLzm1LP2tMomEpY3sgYX/gd7WCoIV3bFn1eTpGDHaE
UYJRdN87fHLieoinYaRcaUZ949kgfBAvswkeGC54NEbnjGG5E4Qdg4IvA2D9jI49bFybAjNAbzgT
PWdmAFfAYouJTzu6V+VVIhsPep0sNdrVlY7Qm+hfl5I07Wlol07Nv3aOE7m8aahJsp7xXypa4LTC
nZAiIJuhynPHMOKuVKuLcgy+GXTPI6rnGVx9GuqGeSnxZunWd8eJH6BrVaPcN0qNtxii4KoKtPMm
l87HbateDlQiFe17o7CTk1ChQ2eI5j7Mk0vJQOi0EF5GhgSmi9HcaegDRwjFeKDwsHtEYHBuMzkw
K/qSHWxqh5mCnTErk3GTyQcd4eqosE/KPFWXDDrIdRhKlILwmA+xvYwsv5yFYnhhtm4/N8RAAwQ3
w4tBxcWy++oy84iZfZhyA1Q9RbtHcoplydS3V1VYPkxMVMrTSS+GKHo3DtjIlCeJZJTTUpXcJQfN
nXbYyGL7d+6LcQwWNrehVH5G1+MSKv2JFzK4MdVwqTPJSWr92FF6dA5H87pGWE1OvK/AtB5oqEgQ
mUhdDTEYasWIyGZWhEAfE0w1X7lW/k0S46S46q4lMWDiT4GuiaGTJqZPkop3rGoiQKlkPxOccqZB
lq/hB15EOvoo9dBT7TPWakhe572YdFkdPndSWNqg0gI8ZxmIdTW6qJFW9pvazcMZaDIX5CETNC0K
vzXRzIqDa6BvMTuQWRtnbUazjuSqtuplWlFsGx3tzV5R3amGeeuQdwwgkbtLwkCbjYz0wLf5wMAK
kizGfUGKEBu0MQRot7NAhoL4Dm2inp4le+1K11bSgIMG3C6JgWJmVXM0OsOZ71tzG99dtKN+olUF
OdTSf5aj/N1hPil38Xk+DFeqGFyCE/bnJgJ6ICOQa2yqTayPCXruJ1jxrfTGEUKfYhDao75jV/q0
tIefalX+8KTmtMvqTzEzVOT2ogVq57OR6armtP1UEQNXQ4xewwYkdyPGsWVd/8ylBF+vvhOAT2sT
FOUPpCpk5pSAYVQx2O0721zVjZi/GpKNhKh+Q9QtSM9QQW+ZDdfghcBqqwGij/ZpJQbIXtU0C39s
V2j7tVOVKbPp9xto0DDwxQC6Lqp4nouhdKUXx2YCthptBlL//qo2Cli/otfeA2tDcIj0OzVKDl3G
kbDNdVwiHZH1LjYiWsrAz+2nluRdua5+keXOlePqx1o/2Nj2COP0IUasFdAeDgkLBOTim7JDENPt
YBBQSwIqEQfbCL/hdUnnoe1QS3Y6FKtU/7ZPacc3erBou3RFQP886BlgCoS+0KxpPjEQUWkEGQhN
ieE9nPFpW2k6IEBa1na68l30SKMiRpSr/RQYOm0dRuFuoKEklZWk6l7M37btlWGG9vGYNrdVhiis
k5fuRE1Vf2qGhTT1RumnozNdwf49WDIi+JQO2a2pcbaL2LKnJGl4q6DGxwR5TM/lwoFEnhU3WFCK
sTOT5WRAylTDLmDio2E2y4jZRp7Ki5DW1yKus9vGgWGcs5Eo5BYDfcYJ3svwD6qknHaaFk3qHqA/
AyjWFDXNE2BGxw4+UYg84iGjZVgHNHp77Q/Rp447cVqH9L4Cg3GqYRlozkoD282GrNWEYsQqBj+5
NKLLRAMeP4IMy04LdV+5A/4TmdcGpghoLN0bmXGJefdDjwXlBMbMDeBBMlPmE1g5pmeKRrLKoH3N
/Y9lpZUey4pyUsd5Cb5SbeaRGEQBgI9PqrG41lQOfpxq3yTUoeqgvu+KeOG44TWXvXyK9DGmV7Zz
UgXeBRX8FxxzjzWp6iaY7vaigsFFjdmXC6zTSpEQy8RIDARjO6MJfBf0GUqXJf4QhejlD5n9WXGT
Ym7grwWNBbhxnmMI2saNeyKXw8aU2Ay136oLdEK+9CnIIduVVoHnbUpIRx76D8D2cxS4oHqnVn6Z
RcD7mYd4c0kx7vKQ+RASVd91GaWlsDAv5cb8mukmM524Px497Wco45+mtXDBVbWk2dun/sK0SMdr
s8JNOxvYfqFSQ/AcnEkxKt/Nqj13kKWdQ19JJqVE1PYHqIGhRTlnSuFGTtU1ekmobQRuiJdQfhqI
+QfCTMthRESr0QzEvOToOPTqfhrYaE7JgkBYqG46zcTkBNjgve+hKF3YXrloFU2eZknbztCUxs0M
NMUgmd9Qh1CgbuJNmhTSF7/srsHQAUANnGnWxTA7FQyHGrsGpJQBpdb9q9pESoxs/qTxmmqayM41
MJZLL8ZMXatqappcQuKLWf9UQ6+m96QYQdL0RCJzEhatMsIG1W3uJVAhuc9ZLa4QiBxYr+FhFzx0
gJOl3PxpyujPAKSdWYlAMzvRT0vgkAHK37VDeepwk08Gy7irWmuJJSuu7J6yclMtxX251ae9GX3z
kgQZqr5UpzZVCfq1SNjcyjbuSk6iA/iQsonShKvcoMTOmzA8VwM8lQtUhG07+u7hAouyW/hFwV5p
kjfSZysBGqXiu6w73beenAtFvxF4d56l86LWvOlg0CpNooKPo4O5t7sSA49MP7VBANv2IDRminjK
ufvJ6AHcC0I+c2CAC7ltbvKWo+uXyqfYS0WxqK01M0C900DzuonyK9A2BlwYRSO97InTZbru9RJF
K1NfKXZ9hxIIKjxB/a3ofWJQI1+PcbDqh/gLbOhk1lWEVEu+bQVGzUafAEACcnxI95/lVblI5d6e
0E2hcM3ljF0bPjhCC681AUz36cOYlKvRwX/Ro9ujqukNqqizmtFe3oJhr8jyrIjQhz4t+oBOZy0z
VIVmRWMt5b78afqkdFbW465LzteG1MgICdH+OXFdQDdRuoE7fRvWzYWuFyvs6ZWZh3QJKnXclFqB
l4r1ufeVeW/QpHaL7ArDsmOYvyBVJJru4WU9alMIAgBZNCivbjxHJu4MQthJE+TT2JBbNLxCBRFS
z1KjT3E6mjcDen72eSGhUvEpNuq8nQ22CSY8l1b/qUEfa1Cavn+oQZt4Uz7sKEH5q+cSFNNrx1Zk
akmVcg8Dh7/x0PhBwEOUbeDCCKG/Mn0wj0iIRLFpyM9Q6efes3Ek5oZohUF4xTECxMY/gGUg4fWm
98wLA/uQeQ+AP6hGKYVfVqF0G+WCOUpzPqJ0T7ek+cGE2RfaTRYd3Hg2lLFAmAbTIXPXQWl3M0Pp
qmmZtpdJlZ1YUH3I4VS8D9piVknBKWik9WAxw0N66UqWo/uWJBE5upZrRYIs5nbqOhtJZV3Z9KZJ
JThC8jccA3+olX6DXDTdVN/BDVTIzzjSuIh1SZqjNQzZHWlAy5NQ2cvDr4ad/siH7Lr1Ka2yGhli
1zS/lgVOCZCMakf65qbDqW8i5KwF6zbyz6Dm/6gym7TXsS5LzbiLUdiZJ3wwyCeBuYRLv2qU7Hsy
yAPG0hqI7pqSsYi7Y9xQrwc1L+de3S10HeadGmrdVO+CGB0E+77wkS+0Y/OsquMvHSXu1PaMuRHZ
n7PAuS8q5zIw4MqrYMkBY4T13O3AZuQtw8P0zq2z726By0yW3tHOgG8Xld68QST+uMLhAWjKcYAB
hh56P2IVgck8tvNZZyJi1eXZXac4AMmGepYM0Cpz+nCzQU8wgi0wDATXc1ZXjBV194zccDYGeUku
0S3kslt5jnPsqcbnYWx/Bnr4gB/RFy3wAAWPN4k3ookoACR8SY5cIrvQoXCFtnYxUfvC/GS21dp3
+p+0Y5FbZ6KXya48bUqE1FBE/KZ7xme9Hlx0I6Ivuqf+bFSzReZJ/LlBHo+z902CSlKVoZHD8IXc
owlm2AeHWBDH36H5RvQqGmgohoyoooUihsLEUGZEiXL2QrZQ4wdPsSxqH9GdKIein/OtJbXaTZl6
0wQBX12M9sIMKoi2FakF2dOKtgTzD/qOE3TOPlsxkjApTWquMtRr8H/wooCRcN2DShmrECEbdpwB
QGRqj2zioeI7TNTcm3fleJV5Ja+a2ty47cKVm6vR1lZBB+TdUvEargoXIZ44pA/cRHcoYN3YNLQm
lpnfykpWTtLMnZZd39MCCOD7lvDPJP9YTqVwJlnwSGU5W5ooNykyfk2VLDnHDDGGidbaD0lYnFG5
thPghfmcVsaJ6Q0D1iZQ37hUrrPCgMtbAs6sARNThNxWQtdaLhWEp8Z8vKTzpJ7qKa4CPaAE7yRW
HV+bRVH3TbWjsp2XUuUHX1kGt75Qawu6rBkY2sJ0Ezn9YlHfZDO9znE/wees8qfUBdYlTamAoWsR
+Jda0XvfA1TbqpgtNNF93T3PKxTPalxGbeQeZHqwvoU3qV/IlCPAWT/JsbRyvSLQ5r3FTJfkPkbn
yDar4qSxZJfSIehrFOFknEpm1aBNcYf5lGVmXyzlUFNvog5L4HWc5kIJNvbhv5nWnew1TchgayiR
wYAC5qBYG+lGgaC9anlf5NqKq++q23rc0NrIwIFCzHR/REbg62tZLRMJd+oel4L/XJeP1yU9zN9f
l18fUmTzNjvuS/7s131pH5ma0OChYYo098uW7fa+RJOFVqnDmPSlVJB+5Mg4IQFVdLaSl9yyz/el
dqTSyzXBzQhZBwG5+Qf3pbgNX/VsmfYKninaEQoaebqY5L7o2fay5LVlmXJbiouB2b5XIcDKlfJi
XS4fH/jSHE6REe98+0KwcXWdilNWVVl/cy0r0FgLM9RzDFsM5zryC9y/EysexmOmyHTdtDpt9JMK
+9irEFUxWiUKKtU2lkp5FuIyCHHoVLEEWo5JaX9Jrv1ZGzLMi8zBs6rTNgor7UdLILfh7RVtCxMP
7cJWbwO096QYS7UY6YggzzN1TpHUwKaUPBeRzsolMY4GZy5UQOVZld4Zsd6dW5hCXegNmO2pkqPJ
tsjcXpvGLea5cZVR8wZdpl3IrWJEZ20cXpR11KHOl/ak0peaIj8YVX6f4hUBMO+L1RbHaactDcnM
sHPgU6BFg7KZu3ASeBXJiTsg6axFjLmrUpnFQ/HTt/3PlJnnipr/bLT2KlY8jDD0MvxuRWAOHS9q
1pKVl6g3G+YqDgCMIHU8R70O6zhJ0n7qYQWB0kWbN62LfJ60bjEJYskAEGnjkeicVykTK4x8sdQN
RnVZp9b1oEg3sYrMaRb6kHrr2lNRTUKUgm2BDwfJWEB/TjyiVtH3M8vrUq+1fmbaqf+5gvM5b0CE
oN4k9zc6mqOsopqhExVR6ulSCSMG6m5h1ghHSCib/3mPqWK+8GYvCyYerpVkmiI7fb2Xi6EsPA8x
j3N8ITYdDZorhCgmEKMQS0sZMU+QH5oDqp2D7poYK32hzZmpTf+l/51AN/z9PqCjawKPRgpsiGQX
m4nX78PoUU9AyTo7x3FnNcR+P428wkXoTqdTa0XOvGhd+DOqyYXm2vLas0p3pfAdmVEBecsazh0X
ZJitjj/qPnMWlco4pK7zhWuPPyzDxXTSpfnBQPEb43KLLLIYplbFtBGLaXgDPh00w+/n8PiWnQIj
wEV3WrddoELO8agBtlfVpa4b6KfXaC8FDuqnSXpMw2SWgY+fILE/7zrvTIX9C2MF6nWLPGOShNWM
Q3zeYXu9LDyhL6l5116XHYPEXze9LQsh9KUcsdEsp6D7IodXf/6KXweRLdGfwgKmo+6Ae9GcN0HE
GQHz5olbnssttqEEgpgPj+WGFPhzI0OLSy88wvWviL4jcm21gF99mygFv3zNN9+m1IOTbiOvOi88
7bvhwmxBrRR5W+tYTxrUIxiDeyYmZxZCGkZMMU4TczgbywYhUMk4ywL7Rg4opRmT/+SuxmWlWKuZ
+Ul2xzvDK34kXVCg6l3kjyqC/x8ITjy9xZ3Whb9k7MRvt1aiX7J3/ob/1j96vvR2P+gfeSGKGvHX
nvj1vK0b4x+fE29ogjb3uC1iakjccRwwsKiT8ENMiDMQ4I+/Rt9CFQgr1LAVfsNrvVij363Cnz/g
e5vI98/5/Zt/mbIAW+XW/8efnw/498dHiMNAsorBr7z9IfS++vhkOkxlyDGYbG5/DmERRFNj67sp
hKcEVhohkf/JSvCcV0tBKmcDPtUePykx7NVSsBMQzgJsx5/972+Ed2vAlUVH5R/vhtdrQMrraLg+
EKe3P29PA9uBKxLRFusxv/5fPg27FuHx2/nbhHV7uv5RSKAZpkANQshs9yIIyRsODXpunJaD3AkC
RrLnTjCPgKluS5XHwKC9PQ0KPrEm5IGDPQ5P385+O0ERewAMzu7oqFLSkdWAziFYHOROEFifPXcC
JlMEPRAyHPnXAVEmGGxFah8vj0M9DULDY+81QElEpa6nES5+RNR8lSXgmmzLjiAUHuhGMB7f2L6n
QTGYHfxuEYRRGZImBIUDXQT58dbabxFU8T1zRf5mJwgeq41KjGiUHGZI2HsnAE20RKmuisxZ/LxL
lXTioq6RKj3exgeYJjwG7H12gn1kgeQ01Kd0UWSgb2MCNQU8CqHsys+hhkcB99wzPPJ1QxzRYAs+
7ocdaSN9VNwNBaHkMA/F4xvbZz8wKWUKSnx8qpTe7geRO9uoHdrKwUaG/YsocmchWIxU6dvTQB3N
+Blh+0MNCer+n94+QlhAHPmnanpH0iyLWTlI68efAz0Nyt6VJJoN4AKAu7/fCPoRIwDABkxAtj+H
ugb7X5PykU4ljbLbY6og8tC3N4TJrwXt71AXYf/yQT2ywE4aYtdvf94ugmIcGURNAx287e8P9ZpU
HpPafW4I40iDM09f4fGTiozg1X7ghhDNSAU5wEPdD/t3V9D3lVGhJw7+ioGvF8HmonBMKDKHmiso
+ydM5hHfMc1EnRbuUxB8vQi0XfkdHaaD3Qn7t5jY7UQFC7zZY2R4V1SreGIbChqZj6H48KqIp3O6
T0xwjlTgp+TOT/Xk2/BIsxH2jy4GZ4caE/YvpXScl1TkRp6Pw7v6wT5SdY02lNAe4edQ7whj/ztC
gDRV0CP6bwYyGMVr+HGiavv4Wod3KJ4GZfscCvOIbhuVgvV0KN5elCwCqu66zVDqQA+Ftv9FiQwP
wg58SnCx4odj9uqOIDKAMeL/SCkO+VA8fUf77AcOhTBFM+SnXsvb+MBoDjwzabQY3x5kf0Hgs/Zs
sjgMolWVJvRTf+HdIjCRATtD5DjUm0Ldu6zULERSkJ4C9rbd87tSaMfE6AExqcdTc6j7Ye/0STRh
cSq01ed5NTvsdXxQwS9SWhEpD3QRnq6wPSIDi8BFKSgD5uPXzdZ/vQjykQG2TKeoOtRF2P+msI40
GfcVJOsfF+FdZKARAWmV7OmwbwphHL9nkLSPnpSQnmZUfOuv9wPtCIW5NVHkUPfD/tUl2TIIjV/b
4V3mQJ8BrjytSiHtd5DXpega7r0TVCDSOtfl402xYyfQgaQbYz8ewMNLpJ865XuER40+gwYcHWXd
316XWFKjI/JUuRzeIgiJ4D13gsF0Cm0B+qy7F4FqwqQjB57nYI/D/oug0YZlMIEi8+47AnYgwnMy
iNlDLa6foBX7HAcRGFkEAWva/ryrKxnew+jAFOZQU2jhIrPncXCOHISFmFs/1RHv6krktplKIBx7
qHNKQV3dcxE02iyygW7P40Z4X0eQUwH2of96qDFBe0xo9zkOwmqPA0Gn5TEmvKsgyK5lVWaMd7DH
Yf9kiXEk0AXF5qLc/rzNEwiM9OMwkDrYjbB3Kaltk2LLYE73Jl3mwyvYJ7I6T1tke/AOMEvYP1/E
iHkrpUZe/PjzZinoMenYJhv2k1n0AS7C/uUTjTbabLrKJ915GOg54oZMi8l57Mweaq7wztD7n6PA
t50mC8Pup53/7pqEDqAik4s80YEeCn3/XEEXe170VX+PaULYRhPk0OdDw8V8eEdD3/uyBNAC6YFY
CB14+7NjWkmgRJPxqXY9wEXYP20iK2IKx8D2d50m5UhUk4wrDzV3fOd6/M8jA9MpS0ep5Lnn+PbS
5KYALc9lcrCNeHwb9k2gAfqZMpNIXDJ33xTyEb8kdlBNiZ+DDZL7l9YWWA1ExQ3zdzgGRviIqgub
jQO9KYy9bwrCIwAukzH+b24KwZ7jnoA29ZhaHOp+EOTz/WpLAX0E3UMe9XQn7sgcRN+RO/NgF2H/
kgImoQXEi8/5No9mbmWB5AAE+u+fhn/jMv3FPZ76QXy/pSbj2rkl/j1Sbv/lP3jm7b5/wAu66ZZ0
++pffhnyh8dnP5JSxf//X5t7zNpnQVWXwV2tbjOiF799zpC2r/T0908f8f2Lv3qx58/1/B+Pg4dy
U975w/YXw9MbPd8kcJv/O+Z/7je7ybJ/v5v/+39ev9kX+//PT0fH+eHtw0Wwf/5v4oP9Tx+ebO6z
8vlBzzRfHs6e2fudT5D63/XGyej2fvZ0E29avpLq+Vkv3js56P7PRyOweveVsjDc6B/w8LQuN39N
s53e2uIk7/0Ss4f4r/Os3Ln+1PB7P38e/zXLSjbP87NerD9xeO/nL8qHapfrliC27P3wZfyQps/P
efHG6Tzt/ezjJrnN4vv6+VF/P16A/fd+/EmSP5TBJn5+1IvHf8SRPUH2d8ejP+LEnj6UO9ZcwAX2
XpTTIPV2BAKBH9772WebaEcME9SiD3h0VT3sWpOPOKBnWfXXf6feQ/ywa2U+4oiuN/cE4Od1eLER
P+KIrje4Pex49kccUfHsPNsV3QVwau+vdf2Q3md3wa7oJajyH/D88u7h/vlBf6+74IDu//CM9/78
nBfP/ohjus52rslHnFIeXT+UD8OOd/4RJ/V8k+/Y6KIBtfeCnz+0m/e5I6aQH3FEL8oNIeD5Xb74
Oj/iiF7Gm7uHHbmjmO7vvSyXcZPsSu7EXHbvh38OSB2r4H7HyoiR597Pv9rclZQEab3jLhWA5Q94
gfSvyQPiobte4COO6tVGvECZbsr7nYFM+4hDK15kFjx4uz7ER5xa8fwFJ+AuqO52vcZHHF/xGqts
UzS7bivtI86weIWzJqj+urgNqnzX5/iIwyxeZb2pH3Y9/yPOM8+vN39NNuXtZlfOIEYoH3EqeI0p
Ct07grWYHn3UK5TN+Pywv2OqaHjv/wL+ZmdNKOYq+z+cHsbOpfmQw/xny/qtjNgejYqrP7kw7//w
NEt27ZkPOb//yrJ073cv2iw77mFBhdh7z3x58De7lkZ0svd/+B8d3fZdly9/0urf/+E0iJJdfTmB
8Nx7Zf4snLzvm/+exTvivPERd+735nbHQRKiSP9iTXa1ZX9NuN83a5/VHXf92etetPgXd/HDpvyv
/wcAAP//</cx:binary>
              </cx:geoCache>
            </cx:geography>
          </cx:layoutPr>
          <cx:valueColors>
            <cx:minColor>
              <a:schemeClr val="accent4"/>
            </cx:minColor>
            <cx:maxColor>
              <a:schemeClr val="accent5">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CC320295-817D-4AA2-90C9-58B1A3986547}">
          <cx:spPr>
            <a:ln>
              <a:solidFill>
                <a:schemeClr val="accent3"/>
              </a:solidFill>
            </a:ln>
          </cx:spPr>
          <cx:dataId val="0"/>
          <cx:layoutPr>
            <cx:geography cultureLanguage="en-US" cultureRegion="ZA" attribution="Powered by Bing">
              <cx:geoCache provider="{E9337A44-BEBE-4D9F-B70C-5C5E7DAFC167}">
                <cx:binary>3H1bc+M20vZfmZrrjw4OJAFsbbYqJCVZsuXjHDK5YWlsDc8ESfD867+m7clalDxLV0UXr5SkUjNS
Qy0+QKP76Ubj3w/tvx7i7ab40CZxqv710P7+0S/L7F+//aYe/G2yUWdJ8FBIJX+UZw8y+U3++BE8
bH97LDZNkHq/EYT13x78TVFu24//+TeM5m3lpXzYlIFMb6tt0d1tVRWX6hfvHXzrw+YxCVInUGUR
PJT494/2Jg5+yCINNh933yO/fzyvku8yfiw/2LJKy+7jh21aBmX3qcu2v3/cGYh8/PDb+Pv2dPsQ
g/pl9QjCOjpj3MS6TsyPH2KZei9/r2Gin2ETU8QJF0+vn996tUlA8D0qPSm0eXwstkrBb3v6/4ER
dn4IPJA/JjyIh+GBDCB4gMfvHz+nQbl9/HBfbsqt+vghUPLpiRWdLYdf+/n+6fH8tgvjf/49+gt4
YKO/eYX0+On+r7d2wfwfQP+RbB5l8c/DTPkZ1ZmJCNfHMMMEYIQIigQaXngX5ukKHQZ5JD8B4pHE
iQH8TcbyKPCajOlCR8YYXgzw6gzDUt4Fdqoih2HdkZ4A6s7nTwzS+036YV5s0odAPcifD/kfMM2U
gWlGiHH+YoDFGFtypsP+ZHAK7zzvCM+2eUejKbPtMMiHh5mA9mHBE4P9jxj2wcfNlMf7vi0ZcOdI
h23XpM8bL9vHnTAC5hw2+9ewv0Ojw4CPB5gA9VjkxEC2JXgXA8aqPAbS/AxhWNyUsmek+T7SmOrc
YBjeeQ31e/U6jPfBUSaAflDuxJD/I86CdHuE1c3PTEENExv6YcyxgB2bMcNg4Kq9xny6RofRHslP
wHkkcWIIQ5CQBireVOoIKLMzU0cMcKZPXjUCU70bXeEzhIgOK3+0st+n1WGkD4wxAe0DUieG+HpT
BOlRwBZMN5iBXjbsA2bcoJibTIzAnqzQYZx3xSdAvCtwYujaMq7UMXZpcUaQIBRM9htrmcBa5tQU
OkRfry32dI0O4zuSnwDwSOLEEL4L6m2hgsdjbMv0THBkUGo+YzzwIDsGG7MzyhgimI2CrXcpdRjn
/SEmQL0vdGJoX0NM7R0Haiawzrn5lgcGAZgBfJg5JsOma3QY55H8BJBHEieG8LAdZfIoNpud6Vwn
zODkeT3vLWdxJkydccLQsxu+a7nfo9lhrPdGmID2nsyJ4W1VZXmMBS3ODEwokJ9vLGiCzwxDNzEm
IxJ0skKHMd4VnwDwrsCJoXvvb9QxWBJIUUEsbFJO2Zv+F+UYcT7ksF77X9M1OozvSH4CwCOJE0MY
UpQb8MA2xwiY+RkWJsEEfKyn117AjM5MPrjh+gjkdyl1GOf9ISZAvS90YmgPLL61hYTqMRJWJrhY
ZLDaxvP2u5fbwGc6Iggy0yO436fVYbwPjDEB8ANSJ4f4QwFJjfQoiHOw4sB86rCIn157WQ1AXAz/
wEY+vEZb9f3mPbq9hfveGJNw35M6MdydbfzhSkKJyz/PjemQfzZ0qDAY8hzDaw92HdgVnUIya5TN
epdSh/HeH2IC3PtCJ4b2LP7gyALqTP55tKHMhBFhGuSFCBV7Zh2qTcQQfBvPPMtokb9LtcOY7w8x
AfN9oRPDfA6lV+kxADfPGMWmYWD8vLzHgA/ZLG7AP3jEjU7X6DDOI/kJII8kTgzhRbxNj5HbgNia
IAOL/fpAAh47x5DjGhnuyZocBnZXfAKuuwInBusyybZFsImPYKsJmGLCDZ3iJ38L0THjbZwZsLIN
DHWDBxyy92h2GOm9ESaAvSdzanin3XHMNEcEFjLUCD6/xlgP4bcwTag126VQlhP1eQPh19JT0H39
+RND9mJbHMM+G5CWeqI+XxJXB4juocYIUwKe92tybKo+h5HdkZ6A7M7nTwzZq229OUohICSeTcI4
RS+J57GFBl4bYcg662JEkkzX6DC6I/kJ+I4kTgzh9bZ4gGMF9j99+gJKPSkyhcnNl+h4r3IEQR4L
C4bZQVJkul6HcR7JT8B5JHFiOF/AkZ9jkNvmGZhfKNnV32A7IUoy4T3IT42N9FSFDuO7+3smwLsr
cGLoXm6iIzBcVJwBf4Uhj/xWqR85E9jAJmcjKz1Vn8PY7khPgHbn8yeGLFDzQ+axqPoj2GjzDKr7
sI6w+ew679loKP8iHE5qjHfh92l1GOUDY0zA+oDU6SEOyaki3RSPwVGILTj9CDV9mNOXVT32vaAe
jMB5KzEuB4NH/07F3gT+0DjTwD8keWIT4HKj1PYIARVUG+hQm8/FS+HQHi1CIBENb+tQzrsbUE3X
6DDiI/kJSI8kTgzhe5nK5Bj1vPxMp8IUDGq/nl7jpU2AGcOGqUMF2S7C0zU6jPBIfgLCI4lTQzjY
Fk+nq6p/9lA7uGSQX6JwhO45ajq0huFNBGHXc2Q9SkPdT9brDZx35afgvCtxYjiv5aN8+Oc9M8gt
6wIJiJtePDPwr3dqtsFUGzoBegTDEn/NfU1W6DC+u+IT4N0VODF0L6X68AdUasfbY4TO+hkyCKH8
Z+g89r4xPxuOUcER92drPlrK71TuMN6HBpmA+iGxE8N+vXmEesB/fmlTCLpMKA6DCu7nPXpMa8PS
RiYUE+l4dBxjukaHsR7JT4B5JHFiCN8HKgo6Wf3zGA+lQRS6F5Cf59zHtQPgh5lwgtIAoHfN93t0
Oozy3ggTcN6TOTGk19sUtunjRNPiDA+ZR8Zecs17y5lCFRgzKR3qw3Z26vcodRjr/d81Aex9oVND
G6Krf35NQwEYgZPrf+cz9sr9gOkmQJYJoEtHQE/U5w2MX0tPgff1508M2U9bf3OMuBmYESgFMcEd
e6PWC+w1lOdDxTZ+5k5Grth0vQ5jPJKfgPJI4sRwXkNvkm2x7Y6wis0zk0FDKYreYkjwmQkEiUnH
LWjeo9NhlPdGmIDznsyJIX0TV9Co8Ag4wyFIajIo131Z0bD5jgNoIDohwqaj6s3pGh1GeSQ/AeOR
xIkhfLXJjhFFwW4MNKcOeeU3mU7o7ggHJ/mohnOqPofR3ZGegO3O508M2Zt487A9TkdH8KKGUvrn
vo37HCcUB7GhuJP8XfL32rGertdhjEfyE1AeSZwYzkPezwm23jGc6qd8BDOgWndknyEJieFgLGQp
XwpLdn3qd+l0GOb9ISYgvS90gmCv5CavjtVOCJoJ6QSaOx7OT2Ew61BMJMTh7AXMxHco9zbu40Em
Ij8WOz3sh1qTeHMU3hMKAoHLhlKitwoC8RnUaGOo+Rx5ZLDm3qPWm6jvDTIN9T2x00P9w2UVqA/X
3wOVHcPIG2cEqFAo54VKouG1R5FB3QHUeEMTixFzMljbd6r2JvoHB5o2Aw6KnuAsWENr8WPg/9Sx
hsHSf9nK92IxYFcIrHyhj3iVAf/JSr2N/O4QEzHfFTo9tMGsWZvi+3FsvT60bx66Ar7Bpw1VwYID
owat5Z5ee97d+9R7E/sDw0zD/4Dgqc0BGW+ORpRD8DaQbIfNPVSV6gLqU/YaYEzW6A28d+WnAL0r
cWoID02pjhGgQ86LEgItbV6W9zh4g9M7JrRAAT9+VBd+P1mjNxDelZ+C8K7EiSH8Cbq+wm0p/zx/
OlyeAgc7IFh7MdAH9uyBXQMDPtqz36HSYYzHA0wAeSxyaihXEJId43wHHN6haEhpvRBtY8d8SGmK
ISgzRmUKnyZr9AbGu/JTIN6VODmEocNvcpSm7Ay6v0I5P9jiN3ZjdAblpBhzsofxdJ3eQnk0wiSc
RzInhvQXYKqro/Ar0G0I6n4peuvGhafFDKS5iWC7fs2Xv0OlwziPB5gA81jkxFD+Vn0/RtJrqDXC
0LYCakyeXnudBKEbKJzF45C+3oV4qj6H8d2RngDuzuf/DyD7axV3fvBwydkfP5/tgZuQ3nlHHZyS
hiJu04Q4+bB1HgJlDMc5APdDgTJ0avz7Zr3nJX1Ip8Oovpbd+Y3PP/HXD+U418+9fTXd3xf9OZty
M3u6IvDV7XS/fvfp58PdhiPRFxt46IG9vLV8/P2jAZzVK1CHMXaM5+un+IzAf6W20DX2948axnDi
bijzRtAJzoCOUTBgs31+C64iBC8aIbhSg8MsGAiwFNrV+XB9IUTJeCg3QwP00GQOrLaS1fAWJWfQ
zp1Dj2foDAvXbAj89/2NNzLuPJn+/UBe/vwhrZIbGaSl+v0jhu/Inj/2pCoyBJQ1wSFeEwJ2CrkZ
oN+zh83dcD4bPv3/yp7KLK+q9iptqJjVjetnlqQhi+yINfWtqRndKmzrNJohFJXfSqnXnyNdtbml
RJp/ffX0DmkDgcVYGzh7CGfKoS8AXBU1hBevtdHTLouEX9VXJE/xlRf1qWtVTJq+3dalFFbd6NU3
VmdaYBUJL3M7D4vIs9xeMd2GvHL6KMoSXcMYfuWQOMafe0PjeNGZhrvFnYbb+a81JnB0ak9jKCqC
c3XCYHCpJBppHDAfsO3KK9oanueYbR9/roEAofOSddKw6q7FoRMwl1s9M7vA6iJEF0lddNgpalk+
+q1S2A60zHAUXM5ZW2Xio9pihRF5M0+G/k1UiVWihK8c2BnEF+XnF1HcGO0sUJq5Dgq/Tha//lX7
MECGHUEbJWhfCInYpx/9alKwTvMaLYvVVVq64ov0OCaWHhGYGllatTdNW4j7zMXxn7/+2mGuvZ6L
cNYBboRiFLrhwpUjhA5qvfpaA7WenikvvUp5j69w5FdXqSrsgLv+l19/EyyfvW8S0IeVwXFH2FD5
aJ5lqd71eeHLK54hfZM3sogXbsk7YkWZP0N5Ffc2RR2XdkiNJvlfk2aYFLs/FCYK9C3Soesv3EU6
/nogzwLfS5PgiuWRsUnCythE8aCD0SdqZhZSWh0C6BdNnDfEyiPJtmUs1LIRnX7ZmrRANm1CGdkh
S5PPtMgIdXzeddtMqzMHaX3CbENIvTg3qNlX1q+f3tDjbqw/G8wGELhwXxs0X9oFCpmVkRqGq61x
5SaboCiVZ2EtKlPdol2XeqvGD6LvHhfZZdvn/tyUehvYBNfsR8n6Xtqd7zFbl2G9DQrKHmsj89nq
10rqxh7IVKcwiQYOA9ILBgO36PV0MgseoMIv6TrU88wV3CmF3y/asqViXtZVZRdtjm7rpDMqy/d9
Zhc4XShSZItYz4gdxXlyl8VG0losbryvTZjIZafK0sqMPPtsqog7bp66diXDMLCCkoaN5YYqvWoy
TV3nWk9nnodFaGm9myY2qf3k3DDL+I6E3o3XpbS14orlV6WbfypJolHHrAk8yKAjYBv0qu8t1PDw
MvYN/s1Flb7yTY4ve6+thd0gX0/g2pQuWGq86BKr6Xjv4MbQnD5sHzKVl/cV0phvNUnJ5q7Kq6Xu
EvIp93ETLVym4cDq/cj9DknboraCNNf+qhKWOFmmyDKSabbEuYgfgzozYd3TJLoPhNsyq851b1W4
RWV38BwWWCfiOm+SdqY3RT7HuMX1LIar3zy7bjye2zXx3VmiaOFUmbj2Xc1DDsayPIethjR2ikLT
4iWL/2wT5F+QQmT3Bi2NRSVCjcyVmfQbbspiplAb9vM64t5ca1u0ISpufigvywy7JyWqrNQjtTdv
y1DC4miaWefVFZ8X0vWduKTJeQofteD2hELCg05qZoUqDDWbuQ2zmDTa3tLL2LVpqaXJojCjmadX
HbptKNbhvuMCxVYIM6mc07IRatFS1l6aUd/H7m3V5GWSWF0Qd2nx6Ls+If031WgtS3xLFGDK5QPp
krCkBbTSr6oMXZVRmUTtSgR5v6hFVbrLpAiCzApJLO8R0+gy7Cit7AowcK0uR6IFuBLOndR1YT8s
46jJZ2bUeMgu4hK7136OTCbPo441vtO1sSgvTVVSmFGNK7Fq7Ar2wrmp+aF7XcPSMT075xmHCUcj
lczTOCiEFeewebmztg5MW3PBczWszkWpDjcJukli+6Jq3HkTsziZKRe8grmReklv894Ai5mSSK/s
xC+02KpV56kbFWhJMpNewH9oVc0C5CBJykWg84pfGZrruauUspIZoZ22Ku+7cwWnZgp/lnk+S2au
qvt8LgqVBvMuNpPuHCmVZLZBujiwWWt08aII8kCzAVbyVcuSHjtwF06UOPAf0q7jEGkKHnmafg2T
RCRLWogynkV+ad71VUnpPNQkwRd+4yuWWswnfrlwizpL72EzpqvQ60k0rzLQYCbL2OtnHLe9sHnY
Zc064R1MbQ2WSuG4GFerghpG7Hgu9SqHpTXAGTAF/knah7TfxhEc33Y4KJA4tEv8fIlRoJ97AYtM
m0RRTp1ABq7TV25kWFpTZOImdJtQt2mQh72VZGGvXSA31uc4cz0D1BUsm+HO7+XSD3DjzSKh+401
fM7CIhApTB+P5nbbBFpvlW2g/VVAq7pOswJYR+QK92nQBxavdY1+6uKGVFdmJjrppCIv10aVwpbk
KRaBgEgoPC038HH6rcdx6q/yLonbuWqMPrjApVd+0kNibIzWTVyLY5i88yptGZ0psw9A+QqHiRPT
PFI2b9xZgIP8W9w04FmEXljfK8NsvmeFT89r1njujEcGIlbKXRjHiGXYztOixld9m1H9VpUG/oRL
DT7RmJridok71s5qkoTBedES0ixT5ilyHWhMfElRPkzOMMzVgsXKVzdtp5fcRnkD2PhNCopJBUb3
AnYw8YVyBLM7AStZONDDqpXLUgmX3IRFFUV3hKdCX7Z62FTrsi0H59Pv2hsj0sx2JpsEvlrKvq+t
liRlv0ARG378oHoD9gn0yhJ8pRsp/IoqN+BR+ZGMeltENSydLPai4DYtGCz5ogKvwIP3wKaSMvWv
c6x3RWrRzEcAd1O01TrR/ExZAarydt5C0TuddXVOBqMBi8mGXwQGpBV48JPLNPniQn/jFa+DgFvc
NyKYF51nbpqUghptEXZ3tGyRuvDAzQ0vZJZG4T2H3WKhUoSvcuHl36C3vZlbvu4HZCW5J6oL15de
7XQFyxtwcDu6yAg8VhuxvHuI4si4aSuF5HmOujr62piJp84TV0t+dL0YbEiQx74DcQCns4B0vppn
ZiK+ashN5kmTebnFdDBzXdH4d4Es1YVIotBwDFIQD8wedOi2ap+IL0Wo1d4sJiksk15zqVjqqcT5
NgGD3K2g2yusjWaw2LPQ0OCJtnVfz2CTafILXFTEtF0RlzXstLRG4Hrn4V+FqMUnrQM3fdWLssCP
pUo7ZSUYs3oZNASGahPs97beeKa3zACWxtYiYc57Wdfluu1YfB/WKrc4U+d60tbGed+YAE6EsOoX
WRxJuU7NVr/USqTLmZ+nSX3hdU3m29xQif8JPBH1iEQKZgRMp6qtyFeNskRT8xx2gS6/j70cB39i
2VNeWz14YN3nrKSagMGUW8x8pkXeSnOz5rvvIa22Y6bMaBkIhG9bpbn9oqhyFcyCvoJJGpAypDdt
FPfGVWJmcWzlWY3MtY59vbU78G7UrPEzQK3haeBZRc8SsB1KxTPc0rZw6pjwYtHzHGZ/pLceczq3
Q8p2M2XmXxujw59Cv4C5Bjud+AJzPVE3qUgxGFiSiXDOE99srLb6RnjVcGxFUc0+GyTNG6cxvFJf
627M67vcVaKAzR1m9CwLKKAJgUPXXga0jOQlKzKf3pAWxebSbaWA39W2mreOCi1rnES5YDPAG6vK
dRy7oH8hIm+ufB75TtMitOxyHdZ9Z5ossHTXZ+snr/SFu7h5dvKfA/AHmXVF4Pnl6I//+SQT+Pff
g8zfn3miKf77p3XwUEglf5S//NRiK4eLsdX4Qzsjw7e/aDfQFzt/2KNS3iBL7raqiss33nybSfm7
9n5gGqBSnxrIgJTwb68H2qFTBurwJ722K/OTTBk6QyKhAy8C5AikocHl/5tMgbQz3HIHJy2BHQE6
A779hUyBthlwFBcusoRr7uAjbDha/ZNM4dDDDNohAadKoGpBp/w9ZAqUOIwCI/gOyjC0WIGCJ7gL
F8PPfR1yxGVRola26Bqc0D9dkRoLM6LaBdGqzIKm09mtIRt5XqW6uGojV82lDLBdKn1VSCO1mhRo
lQBCmcuigKBN51FtqcZc1E11H/M2Wxe9ZsOa1K2SP+A6Qg5JmnNqVuAzmM1SuHwesAw5WeAtKuXG
Viq6xGaN/rlJi3M98NNPuedVNvjMD2bDL2SVfS6wntl6QgPL9PKHuBMR7IV6auVNc95mbWt7vfTT
W+hKssChrt9o1LxwzUbMyga5dtJorqOBCbXjOL/p3HLDKu/BTXgzJ12KZl6X5UvYMRMrl9pdGfP4
ZjCmVmL64GvSwrDcjjHHDUzd9rQ+ssCs3fitXswKQR9VYN76Rn7Fy8C3Mj/6MyD0E9BAmaOFZJtF
QIG4vfe5qNNZkKtlBb6tBR7guZuLR2CrUiv0/fNItLcQY6yVSb4lqXcR9uITDjNmGX0prYKgTxkL
idUDCKWflXbsuqlNSmPTVaq1FVN/8qaKLJUF2MoN02l0dMNjHTu+G9wGosaWljS8WXUdKuwuzX6g
IlshM73i4BfVnfSWNFR3lSkKqzWA2OmLRNnMhGDCjDWLZbHD+qi1ck2rcgCMsMICD1FF51wWySxI
Fb8WJOsWccqJVZvhEqe5WHuq2JIcNivRM+9WqyJk9YHxIEgdXeUd+RFLozOtwpTI8UMirmK/8Ow0
LSILfEvPKY0kAo8/zVZeJK/9pMhsFPPrRpOlDYQ1srxO/kginVoKy1VVkKsM/AG7on1hlYFeWLiS
qYUNbQHcoG7XuPrLzPwvURRBVF0JOyd+6vTEh+fmwcON01DCTtF/YUFnYVd+Tzx3UcEV4Ss91W4x
z37ofjer/HYBngu308gsbFQWdGnG+RI8glVbGjPdo9cdjq51WrW2iIVpAUXyFTXuZyPR1HkZCWn7
GvtclOAaK0wu3YwoS+NVZeV5EloVQndJV65QEyzyKLwLAm9mVvG3BhXfDVFIG0dYOZ2qr3gRVU5h
NoUlUbo2ODxcQ9dWdUz1hTm4JpXoIif12CXK8QMnPQXqrvuaUVJZNc7mmeqpJcs+hzCsXkZuj+w6
RVdNDPswPOuZSTPXTs0gtyTJ/qRpthYSaB8u56FPlcWJ+1CiZg5+SGJpcQN+GpPSjsLqou3Aa+tE
HNlpZzyWjbFuctJaCbAEuVsQO8gSIG4JWYS++ouH+UWSpJ9x1H/BmroF/WKr1yEGbsS6aNPYAYUd
r68bR+BozfO2taoe3SlB/+pKkV17uh/bQau1K/AstKVMmsKBqOayjvJ7vdK2fhbdcTM17CzRE27p
1FVLl8EofeEb5wnTZ4WbV05ItXiZJOQ2RCS1oDDQtHNwgSxNAsucSJjEHY9rm3jsOpQqBvVk7Lh+
HFmt196GUMFguQZ6AE4wtI+yG//f22eHfqtv77OvGrjsb7dPrVp/5i6G677hkronHo0iHUb9ud1C
fxqoK4A2+4wCQQwE8H+3W/0MygkI9FwXsCugp4zHz+126M3PMZy1NuAAH4fmoe/Zbg+wkAgB6Q73
18IRIoZGqYsQHGvepCK8qpJZbzAIxBb6/8pIQK36aEsHRho8FwIXXcPRFTiQNCKlczeIY6M3wqtS
hkHsSI7SgdPpuO1SEs1CCgy1hFDrknkcLGTmh3bcuxfgDId3KPNv44AviOEHlw1ClYOwZtiYV7EV
4wDZyPOXDUmWVe2vg1qcZxW+RH1zC9HoOu/lRVvQ66DwViiMOiupPc8KUS7mrIt9y62MDpx28Yhb
iPmB74A3S9hJ4rj6ERhtYanUNCOrcCshwOp3Vss0YUE6wjVXDTDEC7dpmVNqqrNCQXxwvHuZWxAC
A6FE9C8QRDEIlw36F1CTYEeBsl8EKPLNmV/lWTyTXR59lRJ3TgcGsjv3RObC5kTTEmIyyq/MTnXt
glVRaLUm932rpBnlX3qSm06cEyButN40Flg2QBHbGbRBYrldGUnZuRZqDe2a50Rbw/iZowJpRVpb
XUgtXXCpBw64PLBN+iR2CsaDcxrr0apqc5PfwPcp+pfReUxdkE7W0vE6eichndLe+LDvW7nXiQtR
mGxVe5X3bbiq7WvNfM/icdff62Va6UsuI6OwIZ/X9Ofcr13TRo0Sn6Xk1DJTPZtpFdIdkrW+HVdR
Y4NX1S1rYtRXoqrYrIRnfplCUmqjfA9sdu3BY4fdW+RA1pIEz6CdSGB5cd3c9XW1ClEXz4TE4s7r
DGyVoR84vBP+XGYJsttId2qJHZYHX3li1JcAXe2YedDPijIljiImstq4DVZA9PszVnb9oixjbKfC
1a+UX5Ma6EO1MGl93ugpc/yWqFsvC/GMa8k6SON1DfTWHIKyW10aS+5XoeOa8TlkFCPHo+hGiea+
hLD3s1e3/IdEraXCyDGb1vwhg8oxEuVEbo4/Ia2ae2Y514iMZkJL5hFXVtgCw6jM7FGpEi7lg3P/
YfclDzWnoPVKtMkcDAgE+f1Cb9G647VDRXmODXIJe4jjFfV3ZFTrPNHmcYNntMiBF+ke0qq3PPkA
nDh2GjOmixbYHicy6m+GGXyPe1OfAT2vViUw0ECk9ZckIUvqkbWZVQ54c98g6wNbNo2dlLOZW5tz
j/DzCvXfWlfNvMSFnAvKLep6mYWB/ViGBiTxgGhzIAC4gd94Z1RV6rRB7zlB4Spbr1Gw9nUzsn2X
3JZxqmBjLi880sJkLvEizltkRS6DWZZ0FwIWEZLMIqJwWs4veUYv9VZ+1frSjgx2XxHvNs2zSwZ/
rom4TKr61hfBKibZjLhhAGmF1iJdhMHBbTK7gnyR7RXoKtKiv2SE/8qiZAXtjy5kzFdhhW/7BjvA
jTgyjteGHtp5nHcXPWPnkEf1gQrqHvKInVfCcESRBZYPO3jXNysu+26Z92m6Krl8TDqXWZoPXkPn
xaljtDRa5CJbuAprd32n5f8jSYaHs/jjLNOQJYNacY7gXT6y736HE9WZcXAl84jM6lh0M1aD45Uk
dXxZJrRxWO3OPekncLtKv8VZrm7zPEKfeM9jS7btXVWEl6h1nUiwr6gtF7lv/gBWy4McR1HMvNBF
ltmhuexhTsduYEvXUHYTcsgE5DVxGC/Paym/F6yv7CBUXwjz81mNS2pjFElwa21wzlS7xFnErNJN
IUQqFkSvb2IiFyphj12c3FcsXAGje9GreJVX5JJl8pIrIhZlA0yr6oJz0vqGrerANl1Nzn09XHgG
Yo5C6k7vKmxnvrlCvoB1TT106Za4tMKi/RwGtQ75DAgbSEeu9aBP7dw0O7sNonWd9Ve+CpdRYyyM
pgycADxpN42EVfEiAIcRkihlODO87BJ4GEg3p0CWxs0FFCqew75WQGAie9jXIEQNi+sojO/gdJ9n
1WkdO2aqBTbNwCsripuAqtpJepFaRRF+1js9t7w22AjELiBzFFgtTFBe9HOgtx+jHC1wlhiWjr+F
Seck1LRNoZ83YIeogmaLYvCoIUbyhPboYrO3gEy0TIjDrChO8FLLBltWXgbM/JOgeI6AVLS4Fn3r
EoLtUHXRTPe9a9ob2El9AgROFvJzIIWrL5LS5iII8mIdA0m7fOU9vXA6r4soxjUA4CIMd25zBk0H
oDJjaA70OuoP+wIy4jWkc90qcGi4KiAO+PU3DAnV/yaMYUjKoNqaQssK6NELJbmjVCbkcFODC8+7
ik1IJ5rXQRWcB9ld0YQwE8BHNyFLEs5+/Z1QCvw/vnX43a/y8VUWlZlONW2NuvT/s3deO3bj2tZ+
Im6IoqhweRRWrlyudCOUkygqkAqkwtOfofZ2H9udsIH/5gf2TQMNu7xqrSVxzjnGN6Yetm2GMczd
B1TFl8JD7yGiViZjyJ/9nB2taavEwnzDXTGpxHFLlbT9+qJIcClHz0mgaO7qaKIfQ+EFaePID37Y
TGlRLeeg9l79HG4YrSFm4GpqVWbWoM1CTbqUahsmQbssRwM74aNq5bjz1gaCcVl+qnGtZjC+RIoT
eEnH0MesZaIH49XrHufhB1NY99gU7FYs42cZRAcUpceh73f+pqW6XB6YI0gmHXQo9dS2+2U1TtI1
vpf2ExdxUM732zDblqVNOlb4MY+WMy76r90Aax6ywLH3yGGZvMd5lc+eU534qPoYWEoRlzmrEzmW
LS5ifqxWeXYnSLdL7qasxljD8gqnrPNsnQV/WTZXIUbgtp8ym6+4gp2sGguYbkynSmLA0qsM077O
r3QXJgUPDlT58N6K+UH4Eg2cJo9mrHTM2OgkazDuiS6bbVR/h7Zz1TvNXaebpIdtgfn4ZLklseXs
ELQhTkRKP7SLOMz5PKe2N9faR42Umh/73vsSdo5JcvgGHff2hfYuwVR/m8UgcoK++pObaFPh/vYa
3xrxH662yUOL4a642uSlvS2uya47d0/Tfj3yg38JUXqST+4U8xO9at+m899f65tw+CcvDumQAtOC
Qrj9cj+8ONUibKvQI1c65XF7cRO9M3NMz+Q52DmZ8+GGJJdnm8khtu/4T329XJz4VO7ya6bj5h9+
m58L37e7nTloL0O2PbqK/8IULc7UeJRKcS2cW81qGDzPvT38/Tv++cz642v8QsBAhTJEiFqguH4p
+kO03P39v/+n7wHb0IIAquom1f78gTazvxIH1uy1IrcdtK+eo+f8dkL9vxbT//8b37elJ389vv/+
hO4/Du/bD/6ulWOV6MaN+j5YLvwH3/D34R1bRrFkARUFK4YdyrdtV9+1cjzOeHuQMZ7eA3fwm4z+
fXgP/hUiFeRBegf3gwdH/EfDO4rXT7ccvICQYcuxj1dygIjgWUA/XyFtEVpb21DdOE5dHDQUQVGQ
MO5RqA36vGQy7nCZDTop5qxsH83mtpUeuKy2+dh7LlonqH71IngWsX5JislnsfQEhkjhrbEkk5uK
MYTE2vlrSqa5ue2K6FnwtU9sz1gyO+sZ9vKl5x60VjS/nIh9t+jnPCxUsnbh1dovYxaoyh5gj5yK
RmI89vhpDXGqFl5w5bveh4JrA0k0vIumAJoghqjR6d/B/bZw8Yon23AdT6C9wDcENqnseuW3wfOc
wwZHwX+JavXsz/YcVfQyBfUj4c3VGKJnguP5oe3RoBIKciWfzsHq3bet3NGCvLoldPmu2I1OFyRD
ry86UC9u6F8zAaFT8HlvZ/gJuCjeobkPcTtDLyDBmJX+KmI615D++tkH2tEtWRi2JrPWLoCXmhu0
MrDdC3ZQWwM1TwaypTVxgRliz6txJ/3ufq6sTHhF24S46y3L/U/uqB8rs+xg2zUxK9rb2fN3Cxrz
Ei54nAfDrW+CD6LLi0x7y4tfDgCmJq5TsM9VUrel2rFyGdLWDfZjv95BnQx2VNSnmdZfxNrARR3d
D77oKVxfN098Fd1IG7jXdR4cMGE+dNeeOPpGbsTU2V+kTJCXgBtiFVp5OJzjKrORjRaOZ/gifL+I
TddCmFblnjZtG1eN+lQFvkrluMjY7eiuDuFfOkW2jMuhXKyMm0Z+7Hv2BXvHvkzKKQ5F511v3u9s
Owz4jm0yudTeE+MwZsAOunGwjRRtd2q4f6w5BVAhdn1YVDsK1iZb5tmF6Okv+9BoTIMtN2M2WXJX
6ulztFZTn3CnlInTd/u184Y4GLuTRzo36Tx9iHwlIB/nEoxEEKaQ6g4uKdq96ud3UCCPpaNSOzSZ
g1agwKWL6yh6VsyyRHSjfeg82mVlVMxZFZgFFwLwN7oamo21ljHj9X1kQbO6OYvBKh7byL/kdoBx
U/UyrQuJ+yKoTRZKTXesU26Mp4E5O1Kj33FgJ58Xt73LifjEism7G/PmPuw9yBRge456wHsR4wS7
fDXZ4Kk6Lpz1RincKbLB7MmEvs0DfhGNAy/LkV7sS3yArf82jvQ0qLvS8zTGjfA2DJv8OPvqes7r
KbbjdIpc9dkbasg8i3yHKq2zoBqqlMykSvWK62PiHVjWDh6IWMmeLYlc39yCfbb9RcrjoKasVN2S
dDkuA9vk78vGcrhLd5WvmLdbRh5m7R1aKghUFfFEiupLZXDLuK3Cta35boi6Y0Ma+H2AE+GJ149g
BL9GVk1JMeO6Y3Ww91RbZB50r5jodYxt0bUX4s78irbNIymb7nq2YG5AxcksiNY8nVdLEpPnv835
CsyKhWhThTGgJTTcUfkgelzN3Cvosa+lyLwc3zhIHPCsy3qncu3HdGU0Hhq7Jnoh96zrIUbilWKx
dnlMrA8Sr6rynV1Gmapu9A4C35f1xKkCuBYb1t01HjvXanhwcucx56VKqWtPecjdjK3rXMaDwgh4
o2fav1QRHyZoMK0vk8HIszFWrsloWePuyilv006WwysmGuFdfiuF/+0Jtn75r3uCq3eEgf/YD2w/
9Hs/4P4LK3gg56OjDDx3+6Pf+wGGRz0hCOgj7wCsd9th+3/9AHO3R4BhfcsGuDNU6R/6gW1tB1T+
7aEiEMj/EzEf3cWv/QAsfXQrWwZhA3Z/TSLgFOO+T3ASsEY8dayGFYtxM251hxlwbXZh5+/ppI58
IRg0o6dGYWhyzKzSJvIfZehdMTUeGymzzoY5YPmgaaOshEL2oVYRzZTr3BWk7Y/jVBZR2taSfARs
iXukpcyKc5DbZk546+SxXwfyMIxQ2hojzZ3TapYq4z9M1TZv2eUm4jWN55alWsC07mb1uCzkCR7+
B6ZAEzvuinOwn44+WW5EGZ7wuOkUdNOnHsYgr9opLqRzr6V7G4XkybVDi1YFt2c+bspNX+FWb78u
/Ypa7tJd7gVF6vaYeLk738A+f+9qOafcMpMuSnwGfLumowMZMprDrHDGKdFK0B3qWZDrmHjLcZoV
ScRUnKkJblhVJIaK82qCxKE4+G0Dsh838xng47NwolfiBfBra3ZXwZeEV/xUlYCRe7l+GPtpZw3V
1zSfskarr65DMS6W95HRFrp/c9FFc6TN8lQN5kyUhR3Ol9QhS5C44FnhUlsbE7DiOAirQzcQnTAB
1nRRbpq7mDKBgoc37qKXZIXDkOBQr2OBw3OMUHmUhHDeOAsBHwhqrp01TXwn+CSWAiApXfZjLp14
mKF+h+4x8tnBmP4mr/sWOH+5XImu73QMX8Q0+5HXZRXzGlDo2CfDwMHzVehelOsmorU7z8k/VkxC
eppJ7Jk5le38XviqivFvgryOIKjOUzwJ68eCkXenL2TS25HFtIJAOERflqoKr2Cd2Sx0BrNzjfAv
9cQOWrb9gxggz7tjo87ULeAQBJFM194chJ3XZPBrL6ttkIZNQ/fQ20b0I51/bWAmBcQ7km54gsl2
cIz7NNmRJoUYnHQcXIp51JUX3SoNFc2nmeDNGudWEjSBG0nqkXy/UOpc65m5d6WrgkNZ2X2ElmKZ
ilNTDWABO/cdMwBPq3Ypb7AqYEoi7u2WEM73OEwQwss64VP7cRnUzrXliypAlEYjiGmB71PWS33j
eT7Iq38KpvwyVXLH8XDagKwBxvObk/jzzKDZbKuaRPSmbpBC+sx5+o9i3p+8BIYRH88exhmJiMgv
g+uii3mQ4FFuquGjqW4X/dhG/61RG961bcL/uxr1PzVgtc/vv1apbz/2e5XCw2+258aGqARQDgJ8
Pb9XKRSwAPqqw1CSGHXxR9+rFHLu2CoDI9jztsF0+6P/q1JYKscQjIVEi2Lluv9JlQLN+YcqhTye
D8M7QKVCYfxlag3noosMPLIbWY76FNaRd9W38zls6y7hpn/ymwbNzVgdWhXU6xehho7cmQUtdreW
Cejx+i4Suo3HarkbC++khkbtuhrzEF2hZgcVJfuyhrDvabErKgt/uNtaeJ17YMGGQiSR7eDWARwy
D0uhXyOxKEjCAVw0AN4yAfTinexM1hPX7SzyZAmX8mTqKl3cnBxG0n8tonZF4szZTgKF7AutomMN
ofRJYx/E2S19wCCgUva0fNAG3XgG08rZaRqWOOqJA9tlO/sYsJe6LtH6+nAGehqdq6Afs66gCR/d
ccdnfR1ysVUFFe1svc4xyUcQ46KdDv00XNNhiJKx7V77qbgsdMqEs6Tu4F45XnGe1hGWscRwXYJ0
jWUYQhAYTAZCyo2LnGAAAejzNZ+U/7asEkZQxzsByIegQouBHqLe3IuKPYTSaQ0gIkHGuxLs1IF3
OmnhBB06vgztgz86kKeEyQMbsyD39oxOmPZ4zr9WuZmO20NE9hC3q3Rt2ttFDte+p08tlLPOcc/h
SHZqmE6k8VO1giTt2thBq8tL/Xlq3ftyjF7/2+D+xoZuMOVfN7j/U+uy/fLr2YGCgJ/6fnYgLw1G
A5qp40Kjwhnxw9kBMSxA/pbzb4HanzrcCNEF5nBYjP8GR7+fHSGeb4zn22JFLYuwnw4S2nd29d+C
9t9Gbf8QSMM6aheoCkNKC78nlOafq1fRB5OULKxvCO1ei3IEMW/qj3ThxxoiBIBAFP7eZAFvYscG
u5UVl2jprqcQaEc+NZgrSxBhpiBJHxh3B5Nw5yj2MJXWzcJAmcQWkKXHPPUJyn9Jx6cydHVS0/oC
jLJOLOkPdTW8N/4M/YN6n3O3HBJNmgJuwnyeQ/u5MrRLNp4jxSmc+YvlMV3aNXMMAWvR8DkFnD0m
gYlM4i2On4yqXXatWm7dBdXYLeqzmTmMomJ8YYjapaDmPyvHPwHB1Wk3t2hL7FDFcGRiLgC5tkF0
u0b0GY4H+JUQHZkQZIrrYMT/+rJM1kK70F6KHHIKPPxxtwQqjztw67E7zU+rKK7GoD3rXJ8F3lOs
lrKPG9e9n8oqBTHTZFXrXuXUfcyXesQ5ZBqIFQw528EiyldBcgT/dGjYUiZ5qJ9D3hP0lEthioTb
riweRlfqN4RFnpbVm85jONxoNg77mqIzlV3/NhdIBLTVvtGTj0aRQ3KCs4uRGRiByMMrUbhPrBtY
bMrphuDxAxkwyTV1+VpkawRTpegjsifK3DMiPvM6V3sEUxKKuMlZ+e/j/I5Mzs7T/vuwMLU3vbOv
zVBkvZ4a9RRR0T7UTq2rL2Wxfp5mcb8yB8fjb6JS1YswfO+pvM5xfR8d0D2HeXTVjdvn0Y3X5MNp
ifLEi3CyToF/GHvoHo5wykR40XLN5AoOvgT5t0ek73lq4bmXjbhis/oCzN89OKqIwGQA8Fnj/55z
38453PZ/fc4hjDb+2TGHH/p+zG0QPNoZZMgdhkVsPiDzH1okB5JpgA3q37i831uk7Skn2B2CCRua
O3Yz+jgBvx9z26InHqCv4Rz0Ovj6/+SYg4fwhxZpM8Sxn2BzC9Dn/wLBWz0PSAUKdjPM8H1XILAT
sICUSsZwpXQ7tXGyPYDZ4DdytvA+9Sy8jBtTyze6Vs6owmMvziNk1rgFgkuk08fhCnhnBp479/6Q
ehuxq5T5uETtqwDKizTafQV0ogXiCzzxvtMQMmW3mDhCS4T+xL20DXJ1BRDhYWOF66gZEcnJP6zA
iDnyhjGCW3Piz80NB2pMJz+LOnUKAE5UfGXH1eZ9Yio3TCxcWuwmyNwNXNbi3kwFP7UwMBAI+RgC
cY6AOs9o7OIK4FEMTLCKfa9p0437RT7AJAFg6QnQdLXR06ISB3fjqfUA+LsRCImOdmwB87LrqulO
9cZhT33/tbMCqsPGaK+AtcuN2p6K7kZyq09zMyJHU+ZFGjQYUauN946cIr8efmPAI7P6ceetX8ON
ELde8Gkt8eHqvBF3LlI6sQBQLtAKXUlVH3lEkJLZqHOx8ecDBjnovRO+NXgrcV+MRVI1mH1lARbS
SurvS4uS4vcIOXlgse6cgtH9qmUB3K6s46ZlED6nScVlw4oMvBtsdzbXGSnLjVXe0vYrsuP+DBfG
UQoRsZymdF5w0nlDiVFc5ztvYnXWN6O7HxVrspbJC9q58zrKm6qlx3Ep1rRswq/5ikCxDBovI0MJ
2cUsMqN5sOwrU9SZIwVcbI+CJeo7MDgSkqyce7OPXCSsmqLXkEVpeY/TMNwbzUWGrUry4Dh5nsKv
AhDPGLmrse8YUQO80272MejC5dqFBRkTuUxhDOgfiCASj4gwVeWJD8O0L1zxuLjDrTFOmwkSLgDE
9UdVD8jvCR8p2y7yTjpClSgwXoO/2j6i0oXVPXD5oUW8Mx4AXBwWg5UY7lyAPspbesNDkItCrzmG
bdBlrCfmEE44s8XkTQihmvJz1ZQBetIgz2zRkIMzyp3hdYaYQ4RsOLLdTdT2MQLBTRx60sRETqAM
dFMnvpX+3UrBYM/m3p+aKhtcScukdutrBMTHAzKEX8d2/ThSK3ajpgZadN1flciDJWwG59l3/tFf
pvzik8Duw7z17pGFeSojNZLUGc0M08+dKY1Loz9N+K2ClSCiIGQdD6Ho9qRcHimZ6G4WBSBMG53a
xvWzaVpoHFmDqQX0qsZKAeShC4QlWnIinnMoGftgBzkmmJcem06eAtneTsGQEBJcDfwtD9yzUb59
War6y+SPl9kjEEhQJlOEPaaLga5+iCLALGWPjqSonIuLVxNanK31vnbIzsItqa+cyaGxjYKnNcTq
g1KuIbqK5jNCI2jYmuao5HIHsfNieImsvrAsbZtQ7auSIh9qBU/nRc2xLYMA60yaYzugWwsGxnfL
gq+Qds2NIcVDPedvjjKv2sPxEDrapkHVn8uJvs+V72dDxRC1H1Sxo4ZiZmPYF4EAjZUDHKgVflw9
2CuQ0s8GjyRMoR7dRnMQxqoJ2mPIOf7m6EDgr4Dg61GdjXQOiNm1ifXynXRUdwNlB4gwotQxmaN0
nPsvQw6wmNsSlL7rv2JManim2vmqdcdPyguOreEvSNfxY9mAUezXjzO1SL6r+YA3Xe8EdD4kKde0
9oNrIXHKRIrEbj8lVURUDNr1QDofelSXSreEdVVOd9hxc6ndgYFCqT+OYQRqhV3TQu+J1+0LJN7x
nSZzTfH//F2EZZkMpfk6lMEtVmiMmVXLcWw8kZmgTohX3SGlTFALEFxiy1mM9V0TkZSW4rHG2hXh
t4fAgHI0TflYl2OCiGiPbNIQxM2yHnJsYYACBlEPKGzkJhhFvuSmXeBdh2TZD6E7hLdlU9VJ4bf3
TgnW8L+90W+9kfe3M+C3ZwH8e3H1H0fB7Ye/90gYBTEEIpzgAcfbks8/9EhYOB9AuoFKhIdNbEPd
7zIS/xcFaIpkApqr4Fve4XuPxCBLgaQOGQMB4eKf/U96pJ/hG6APEYewiMd4B3BdoEJvVsgPtBET
ONPGpfGuRfO2Dtfz/E0j+EuWyqN46z/wTNsr4PlIbEsthOjtsG3j51cw+eCNOZ/NtVl55rr666I9
mOXynvfjV1gIaS/7MoWjh76MtEeMrQeknnF3aB37xFd7NbF9G/QHMjiPEr61N+jPBJkFQMs4znok
48YK86uob6ilvLowO3bsBpFehQhvCYQTH2LCRdcsO6aWdYgnhx9niN5fJ+5cMXg8frqMZQDnuqw/
Iw+QxxX2CmTe4IIBcQryImvSpFHlfUIurNkBQC8Sr8LuI4p8EIpkeBPogGR12L9EfcEy+FoICXre
dCvniaLpUuOO9tDvEZo/w6F4QyzqAogxjaJmuUyF7Q51qw5tO64pYkpwNOs9W0sgeBhN17V9I86E
4debkYMjN+McKbin67ozXpgWenwIJMJZjj6yLnqrHILtIuY0akdBBVzu5grk9Tq34Cb6lI7VqQuC
95zaKYali6gESU1Vvo/YqQELF1ofDw8w1W8IVuNwzFiAyF+xN+IUmeDQdPzitR1Pe9de1WxNfRhB
ve4O/tKhZfWiJ1muaGSr+rbP0fkNKxrn0nnVnTsmC5FABrxH5AGqGN12FaPPeihZi6jcMOM0DMvj
UndlzCVHFlP6e6crh1j51ZvxogzRuATfhcB2mNHusLLoNIOeiTz77CmWTIJf+4P/OozrTVV696LJ
2xgLgfaBZ6+woOColulYzPJZWDh1TTQdkHi4ILTx4FPVQNyrn912eEJvBoLU7FTvn7BHBMtd+jff
G+Hwj9GesOFV4c1je8q8J8v6uaqDbAlE0uc8ZdV80cC1wXIA1PeWFv8oyOrYC/K48IM33AU7WcrX
IgcmMcPP2xFjcNl0XxclDyH4Z4/pN8zTr4Q4D0MAnbHKZQpzMXF4/XGt8rsKZSqGu3SpsGhsj3pT
xR4JHgV2gHTaiKQoC8zLTfMxogiTEy3g9awBvwrnoT2VwG1SoqlNuf8gI+/FYLsV4hG9jjGu4+6R
04ND5Rnp4BDMCcod75DbIZTfzyGBSbeY+mwLB0E4nw1ZVMNic70yz6bBvy5GNEIl958cH/hm1OXh
R+w2sZmgPEAN1T5YZOydgCvYLCRHAS9tidGp9C8d0M40wkcRs0pjjQKBtilrJVJPoMGoDXGycQWj
geVf1b0KfXfE9g7nrNGlIivgxmPXn8dxvtFY1oVSP3sxUj8ypm43HCCxyawozcWnBcLLlQYTv/J9
jqUp2Tq7NAaYqzM1bshIU9Y3AZQLAEBIJ4JwKJI815/4ujz1OXsPKmi1jF5JQZskooSkS00ueeU6
Ma0pjyufz2j7VPMAy5XgVg3y+tlU7f1k0UlgbgYSj1bfrZNeeikGX5Miw3oOugAHIoQiLIVAV4He
SQdAZtVyKrr8gAUlmQTdBCzjAoN4L7i4cmrnueptwoxzmqK83rdz9ebJHClTtAZTmPvYf4IEQe6V
wUc9ETdZ102e8mDMPla0gWNasj0LFKh5YGWJCNcqW8uyv1rD6pq5+lBFwx3t/CHZxoG5MW28TjzF
kXd0aW6ygvn9sV7sB5/ox8ZtEkhYpk6hFYpsmcYmwpljTpPjq7fWGwnOXwI6WTiYfXqYp+EKllnD
0VKsBii3VIE9WCnsvvWaZY+jXzznHV7BNfVjiyQ4uA4nOpmll6daFtctoHRsjmDhEcOviD0VPPIO
y8liDzQelLYBMVcvz3cYBh79fHkMW76+YOMV5gSjhh03BY2Dad6NS0j22rFglJYO4zd+MMbAaF76
sg53M1yKNalLdHJo08aDZ1t8xZPesbDBPoZGvfpWH9up3M0BosIDsMElOFXd8sERMrMlFrEoLT6Y
2n0MTRchdQXdQRHZpyqvl0QbLOfSjvMKtJGlbPa6F+NrmmoFe7QSuNADjCAwKNiLO0fjQ+7yeRca
EiXSOMu39u0vyzP/qTj/xt5iewFajWhTlukmxfxY/t2m8VlYyBZLoGSKvVNH7k93Uz/8Q4Jmc71+
aAK+vw6ID+w+Q3zxD00Adq01VSHa6wbBH+TfP+BUuoWj/IbjssfCsE25W+qDnTXc5eowuOKCuBjy
x+0ZJ9WF54hvRdWdyDH9dU7GBDbLRCPowPwLaAhEMXALeCuifk7x/oPm9W/t/MdExZ/+5nh+J7Qs
gCXQ83/+hHhjFJyTCqvUIH0Xy6MjgcGrbzbsX34N0c8EKj4fyGQeFg1C4sdnhAv951cZTKWXpsK2
SWybQsLR945M4WBw8g51w1qe5cS+YA+iumuR1Foi54ig/6YwaxxUzLlbZbMTgNjujGDRQ4uqZJS9
Jg6tcZcgBMFdrKPhqrguSXmac47P3MV94zcQjpeIr/ec1u/VWCe0Lsr9OnUxwlTIV4JLAPnPPpHe
hYu2LVdgHWBNL6KJ6hj0EsT4UYrQ2ggfAS33S+kF7zMcQANgEDHP+mpZ4WYF2ON4cOgkrxyhm3id
jUDfhCyQiGSAWad4yg1tHrsJMFxEiwtvNnzN1+PBhxlnFUoc1ZDysQw00457g0wSMm8rhB7K6kvu
vBsPSkJwxLn4GpK6wV1OD4v0XrHYQWStbpHfwdjE4BiuHloPmJFVGhRGpTNpDv2IIFBD55Nx7HtV
uuLTUvO943dNGtTiylVrHbOh2yFghNCSO983vl8jX0ljBIPmcxcM31az/OXlQP/0esANiSAPR+Ls
t8cS/nhf5gyrvPBn43VA3XcWDU26altf+6AtYpynb8XAsaFiEAn15zQsa+wHYBABArzRXCBB5xbD
1YhFW9PqXnEVvjCvFbuh4d0Oqo93bDh0z6IEY2JDG2aO8pqDi6KeTtiFlYY9QT+Cg8hpFLQ/3j0U
DTBfKgaFamCGeNTYD6G7HRbiYXmM/77Judi8oLC3sAEb6y7onZciZSNNfbjOSc8hpfST/yJD/zjl
7mc/mKtYTzgGovrgt/NjHslLYPukg4nkI9CD5VqxWdwHbu1VJcVDV/L7Joj2/jK+gLeBQNcqJ/M7
g16ws9lgJrutKhIxQ57TgZmUUp+8E1wTiY7YK2XkhQrbpR22zGIZkbOzK4EJPKuMev3eceQxam0G
BAU5Rpt6FXzuMATpDNBnonZAmUe4sR4f2aSvo3AGnbm8s8n51LH+vQ38jC/4PZHDrGx1o8R8CVp/
NykvFQF88LIFcRSVd5Um1RG7ETOs+Mr8Ok8bjYZG+QXmEtyMlkR3cNi/lgGBw7Q4iWfkbhxNlfgD
NlMVY0Kpj0V6CD8zgGghhaHkFWsybR1qZcSF0Dyr6IQo9Ag9obzlUEgLAS6mIucGVRzU1SGk9avV
ww6ccIvVVF5KKapmnU+7EeW97RudGtIBrK2wUAMA8yqrOIiw92mixZQMDg7dFSCYpGHMp/AW+sOh
aBEvnbpLG8ItRN4Xu+70BIanDk5eMZ0BAYFHUFj/yLC4BNsi5UHo6YoMmBJqH1tNsZXPBG2ST7c+
ByM7oY+5buadv+yUd4AX/qwdAKiNc+VzyBdQ5C/ImiL9kuf52bgW2DmnNAkkQo+TXVONvuGglhEL
NPzgAAoK3L0asTkztwgz9fQfStufndw/3KlsG39/GKBdES0y0hXW1aHu2+GqaWdsCG7gkt5U/RXF
xPL39ehn6uNbpfjx9X4Zp10hWkwXOBmU+kKxr3S+t9GlLV4m7x9iOds66J9rNmoSdi54CCHBePb4
Vhl/eGfTMNpOOna+XukCoLich6TM3Uc+FFj6pgiuOaQFtC6dWFGHYmkH4tO+hHy2ytXJJvy7CQK5
X7Fx+g58Ygj4wjyRUt0oJ3io0b5h6knAiT3MxTCn7VjsmrF8Q67imYha3xf/y96ZLcdtZF33iaDA
jMTlj6FGslgcRIq8QZAUhXme8fTfAt2WZdqWwvHfOqKjo900WQOAzJPn7L12nw6+EQFBzI3+aNDy
o7DwZ0UeXUq8bdFp1gMk5NtqyTw6KYde6/axph4X/O8GdE/mlseGbRvw2DFVCx4mCeOWcNHpPeRV
48dZsB8reoLZRKvUyJ8XeTZc6KqP9WQ3D2oYdD5NvvAX3+qf+y2/Xb4fv9QPE6nU1HGeB2I6iekp
Wl5m8SvW7C8u2nq7/nDRZCmjRsbJeIrFbZXYTq19/vn995d66M93xUcudm7mqZyq4Xwy1HOsr0JR
X45m9+cvsn4LfzKZvr8IEghKUsUQ5odbb7JaKJg6n4KWJo3cbsypST4zV/jF1ViDHX94off2F1It
ppGrodWiMv3z1zUncTGGS6WeKGNe2dS8u2wDRsqHQus+OIXzsDfd4eLlhiH0/eQ/Z/78whPd7rT9
zz/wGnLywxv5y2P9/kZ/uG72ENuVHbKMoAvwoHH4022/za+jje3bbtZslC3f8wbPicOAzLe9avD1
U/H683exxun85V38eHd+sA9nQZsJteF7/zLtVR8j+cY+W85VqzuRt30w3AvTy7f2KdpMO2y4u7vA
C7fTjnXPWbYw0VuP1plne9JFv4NffBVh4HdC7x4Fwkl2562xt/flEcnV53xz+/O3rv3qwfpQQUtq
G2dABLgvndKpNu0b8KM7xatdEBJe5MU+SrVDuT2/Xvj93nA5sCeHxLEPyQlDlBvAr3W+Bu79z9/V
X33LH56WD7tDDEW9sUzeVbS3nchddrBO7goADAyMHdOBrenOTrYVp3qnPtFI83/++n//sP7xHH1Y
bVhqpLmt5ukkL6VvjeORmdZp6OXyF5vSuqr87Hn9sOqIWGjDsGTziZoaMv6rPO1G82XW8EN3tKI2
P/9Uf3+pv3+qj4dJKWfxN+qkP0VWysnvpgqv//9e4MOZT5tEZpo5B6jUOKoJfUDb8n7+Cr+4MNb6
IP7wuGPKEYU186CV1akFgFapX5Ze/OKq/Op7+rC4tUrW4kxLutO0XhV8APb0P2zVP55UfvU5Ptxg
fbm0fdHm82kcJrz/J0DS7pKff/5l/eLusj6sSmYQSjPNOXaDyUQfVPhp1l2h4HetuXWTUT0NYfyL
r+5vP5dhK2hQ0LbYK27qx+sjUP8GVdz1Jz3/1iSbVIto8m1//rH+9vL88BofHpostFupBmh6MvCV
SfJ1nv+iq/CrF/iwJC4II7SkrIeTzKJNMzrFwP3zj/C+P/7swf9wH6MFABGXcR9zNnBqNzwMu/SS
I4J7aNzID68Yrv7Ckf7BrPt7BfX96TfXT/3Do6PQ/1M6NWKP+kJjuGBVBUHo1M74DJB+PzhnbGX8
wDH83FUccS05N52/7urnx/qsHTi1R06Cl9LZFW60/dXb+9uNHL3499Ll450TN0ziAx465WrdyCUH
eZ6+LxTXSbe691A4ByBzx2/yyypf+TwfsW38YvVCR/7z1fjDdR+k1oxqe6aW8AZv8ebFUU3HPmbe
jX0yL7Rt7z2qm8Ap6Nhumm21Fa70ixX6V2/B+rDvQciS9GKsupN0LJ0JjoaTfDU2oKOO/du0q/z8
wtoiNPwWPuJ+3qZXoZe8/fzWfD94/eTWtD7cJykOIL0tuDWbzbSpHYQda1W3T927YT/t9/FatJy6
3HmAuuPlm2prnVEVeb2Pzt2Jnn4FlXiX4//l/fzxuH9EKQjJZjZEKNup9mE3bs3MmzbLZrkAWe68
hvtgk7piX+1o6l1MrvXZF1QHhd9t081t7K1Fwv+Kg//8iatp8J9ljdvsrfgbf+L6S7+P7JE14vBj
IP9u03iPPPpB1riCdfiPYtCnXcvQ350f9ichr4HCjPP/N5f/QdaIpRHLB//FUXilHPwb9fb7EvfH
rcSpZbVOynTmVSHoSn9Ub0P/ttSpF/aVmjeM0wxlqbaNVobFtSZBG+LYDF36Cddvc62hzTIP+RAX
7kKjwEzsi6awUziZ6UuKpnCuCUhQOXzPuo6NG8bHBJdFW/bFxPypH+zrVIzfVj61azXi2e7VrYS8
JWxjLzTqrYzsRSB/Afiyk5DDMI7XaMWUF2EyXqerYsbsGuBp5g7s8U5OoN5pjMRQXWHTQm7Dyeyk
LrIXrzocprjZhhnHbl41OoWkvCSIdqZ6gPwirC+IjvbwjV7xklwKG+T6KhwzH1czXreqgCqjfGtm
4aWrPihZlULpqhmC47KZcF646qDsamRF+LYGd1yVRgCRG79a1UeyJvi0Bf3htlwecmRKMD5JMlmV
S82qYVIRM0U6CkGtDzfNqnNSmtDyE6RPAgkUzu7Bq1dVFDaWxxyZVJ8kt1FRXkFfZxqbB8YmXzVV
aEj346qysmMkO4qUG5486gMaKNRYzGw12m+kWyCevaiQbOVGum/hK+C+TL7O+SAcedV3kSRyv5J/
ARzMz4Xaj4hKlW+dKh0UxGEIOi7QVKBeW3Vjw7uCbNWSlauqbF71ZRNCM8b0b7lUjF+4nsfOeFpy
81JHhI9PHKFSAjg4uB1X5VozAjKkT2jXtBhVgHd+wYwrdOCylxFubnC3uMRD2u9ZC7cGqXq0jYVo
gMHiULpULSk6WGk5bIHwlnu+l0r2dTmutijS7dsAzRYn3FlBolCXi7kbjFnfVo2hZ17WT+FWwVia
QQVr4JUBlHwQpSl2AJrlL++rwH/LoUyL8J+Xw/+XP38tm79KmNbf+r4evltWdChAOlKhlZX6h8wb
BTjqJhNDyQcjnPgEc0fWWO5Wi+T7Ivq7gkl8UhXLAN+i/6YAt/7NcoiE7U/1DsshqVlQ3MjsYsWG
A/vhEFJWxpIac9BeyZl2h0/4Vm2NI5v/dToxmRpXckAoIzBV9F0yz4mXr3QBUIs4eaceKmLNOMOa
0agSR3Ij60g4o8pSHPrqJhoW5Rq2CUoOm79VWGXkZ5Am9nbYqIDAs9tm5R6ACRM8+dOlVHO2zosE
OfTKSZAmI/CslZ2QDaqEjGSsTzJgBezQxqU1LMVFor6PAFRYdQFGCnVFMrSY2MRKaTAjJLVLU9xF
hcDhtqIc5Kbd1wzHAtGF6C0VhJV6/kay1T2pQJKTqcauhAzB80Frrm4vlwVoxGKEL3B0EqdGEeQ2
kCXwnifKhbLSJqLnRsPSHO7KEsn2OPQQJ1c8BcdToJTZlHrq0lZ+BcViXDDzTF3ztYdvoXTV6Ngy
Hwhpx76FgTFLyBfmwpeWi75TDpMungxwGeXKzbBnFJ8MoS+aEFLfytbQB0G+36RcgdheuRu9D/6W
S6JZDJjCsN1bK6cDXdKNupI7bBAeEyiPthBEfax0j1jBWa6u8o3WGmB/mBiWqqCk2F/JIEGK9KqR
xYUKNGTuY90xwHgmooAZ0yKUWQkjtUY4mWixRJo2qVHYt2s/XJkkYScj7wRTEkpl4pSsVbWcHNrU
utPt5VlZ6Sb5nDod5pZkiGyvXPniFbNGByXKbpQH1TVBpGgKn2UBmmJreeKmgVLI5wqu660IoOWI
psX0U14tevMaM6Tdq4N05gZ/tksosw2K9kOUKl+aerhsSDvyJDTRXjxqb6Bw3gZrnjdtN4EXaUWw
I4DoJecRxTigRm6KbxK4RX9rMAc85kI+DEnyWC32cakVHIFlhKhOuqjnuXJakJebLgwUp0wD9pG2
PXXJwuMz3EVh8FJHltgVGpFPiZTfBgsH4UntH2rN2qd1xzzJKA/4EoFcziZghLbYm6HxuYnk6IBx
wHTSZLnlb44X7OIDCTBl6XchTPX3tJ+hIbZJAVy/0Sb4J+w4pqcE+kNbJpCRFmRBbQvzs1V7ZioS
m2Y0xzUiYoAMy9SWX0I5CHdFFDXnBJ6EMyIhnIpZQS2R38NCT5ywo1U5JAjW1TLmAlWFH2QJqJc4
jXnaO3UP0Bd4TQK1D1TiXl6EvK9FtLcUxDUm78WpTW12WBY7RlDtmf1wccq62OldvUsk00vKBQRm
wiijyiSFJ03vXEkGhD4jYfJsWLCdrhDnxP9ADnxOQtsp2+GzMiVHo+kPpUZXQ29uBwuy0dLm20gK
GOzmweIUqXIapv5zDMvBAS51zvX+Og3He5FOl+j/vuDat5yUMEonL5N7c1APgGt3c9verexBp+7p
M+Jg0Bw7my7StvYtuSk3+QyFSW2my6ABqlDA+0Wj6FtqdVAByTpz23/TjeApDpUrvUxOhPid6wQe
shjalwAdJ/Ls5UsW4Q7QayF8EouewIvi0QDc43RqdVdG+nGSqnLFpE6gSDHT3Gt9Yuxi3SyAZ62U
lqgkb2zltvy3hctQBmT9p1v4b2JkN3tunv+6j6+/+n0fVz6pMn5xg6dB+c149cO5Bh0w5xrNQKf8
jmT5/VxjfcL+bmpQ0nQCRbBz/WHXMj+BGdVUTjzyO1nvX2WW/I1UWMjCsmWOV7hjOWF9aFxYSqhk
WWNgCRRsCWo34W0Y59mfJvSUOE0UxAPpBpn8vsgLFa5RET3mtrUebzaEmW3LrDxZfQ0jWaLsD3wZ
VZmbJVZ5kcVWiU++uZ9l/QthkLL3vuwLzNtwfO/MJrhKZB7tKg15/MrEup5CDRso4BOq1YznqfSE
McrkC8mnJYoHz170gQqWWILUELBh5C5iR0JamKCpVMLZUwSeyoBlx5YNglYwrXgSnI1pXoUs+MSp
8Vtm8qszdRjkz7B8PSuZ/VFlct3ZsMhM5PpsWsaryefkwMbfre018mHISrjkY0x6UPJqx7bw5wDP
Vp+zCbFQ7JdCD/bAs7CpsKuVnGq2mHOzo2FI4wW5aTDYh5yJKJRcXLwpwQ5gO0CGXJXYhowEz8+4
6JvO7O9ItENwl9afTSu8qmplZAg7AoiOa1BbQe8EVdF7hYQ4YtTl2oVFz6Gr7i8xvFVuyrawoQpa
i/mDUaj3eTLc2EnA+x4TAyWJsrO0GulQGn8dFO0yLJbTouaD21u4zPqk+ZJ1khv0Ze+kcXXRRyJB
N6faLmMygF1T57JjoTIuE82pCIwCLG3uk868ToMZscEIHkTF11oTCLEhTuS1VsHIqXJ7UrXR12tp
W8r5RZ7HV0rWHzXyRFxqxmM9cM8EfXuuY5M1P+WrkYe59/VVdV2Ebpv027rWLi0jSjcd51i3HhKy
DhXEH5W0bRLpnE4lhRfbI1cvxqgnzBs4Dpc28i2/mWmU67mOIiTFgayVhN5letf6SSpbYF8Dvw3b
u8meos2QFJehHjzN9TBvMklsw1YzPaOT7/W6fkq0GuVUxoGu7ojyi8PrcKSim1AKhdOpbu2vjTlW
Xj60fIetuQ9rfFtg7i+6vr2K31kQ5TsXgnzGdGfBirDT6j4NQmIyl+HYxot+WSBLOyRwA8pUvumM
5quAhdPAFajgC4SF6VXwBmy4Aw38gRIOQVyWhykhrLfMzkQyph5apX6brfACE4rBYkoUlslIeEn8
TjnQi2G5Vc3lMqybdguLbtyEMXvMqJm8LsfArNmO1tKuOuvduGjnxnhsJQUJd29/LmzFQRV6bNQV
I90Z+zHCslYt535Rd8EQj85s9NcsdkiPOk9VgbpJMZOCoA7OWttdCEPDFik6wofiGw4XbjCHt0uF
7JlKktM+CAs2StyPOh2CrR0q2gaNYrzRmASgkgt3NRW5o6qRIIEgIyax584pKsrsQlFXT15+FpP0
xdKLb2Ujf6U8S10Qc/dLgcANMA+djUr3DA0uhdxANLeS6gWdZ3Bhp0QwTIJlQpbPeZnzMFi1coXp
8E1bSHsjluGtb1F34Z6/0cYZ5X8xPCFk39S6/GWOrUuRQWEGc+zlE8+L0Ft9O/XhQzFRRqZjsanE
vB2C0pOr5mzH2VE2kw1F/uAadXBKrBXSbaY7/PT2wZKMz4JYJ14Z3TE4P0U2VMTIZetRTHIumJLJ
ryX1kjqrPFulfQPLYjdleuwWGToYK1MdFcQ/1m0NLpzVYXGgI9Klre7acf0c1VXqdjMCHTMjvk2U
MEFe48q6AYp/k/KdsA8owAmLzAEgecZ0uYGSzFUcUIFVAR2XYRljF1DGNqqxIcRJRrREJ30lLAOg
ZIqS3QgPmRFi71Ixv/bxcNQlpfC5oPMOjNXNGj+j5BWMfyKwvF7gt5vQRkMnB6hYTm4geanQjpEt
TDRg1pPcLvGe5Ri6uI6JV582UlTfqnGwNZe5gX9k9v4UI9an+ntFpxy7EpqtxrAWZ6hrhhWoL/HB
3PbGdKHLbeJKWg3Wg7U+rU5jWWX7Shmvwm66kefSRwc8bwzTOpa1vZNw66D4n/vN2Ktvqd3j+rKs
6zzihLlki+b+V0+911MqLYJ/bomcnqu/KaTW3/leSKmf1jQOg3C1ta27jj9+KKRM/FlUBAr9jT8V
UuITcHZsVha02bUnwm/90RGBw7E6vTTsWKhX/1UhpcG//XECtHZESH9TdfTcKyKICvLPM7KmbnPd
AGF9RYIy2G21o2XIqkKLdP6sJPU2iMSrPiq1F1T9i9xT7q8cDnnSj60RZF6dSp9h+3iyMV8aSxU6
RpdvmPN1jhzGV2acbeZAnGHlkhav9Kpfj/I2nezLUTMuyrzcEse56xOVkopepTCXlOqCLklnjrem
UfYbAHNvklkcaetQJgx6eGmZwMKlKiWvtTb8We0MYsjkLVK+vWyMiDhVcW9V2rlVsyvD7mKnbwra
2dqQ3afmjKmD5XQ27Gv2g9uQ0M+CJAdvNsj6CjOCx+ZOB5QaJrRD+uq56Hid2Ri2i4Q1nYauK5nK
LpdSeRNOCgG62Rj5nR3LHetOhSo4TH21GqmwEG57GL/cODM2dp29hDhbupm3Xg3ttq/pubolxv+J
VXpjycSmjOmuKQp/CjskzKg4Gz1T9oTBHDU5iw+KZBwCFllaATJC7tS6GInidO3RvCVNE2ytaDhN
FpBjQ7vRr1AlYDvoOeQvRI4ZrZHtKacRHmJxxjyGDy54akNxl0gCv6uk7fQ5eANjVjg5sZnMLXIP
B/foqBhkYfHpgHXR1ddpLt/NwobqOhl7CLSTp4fVjaJkOzo4lks8K1C3BRlvGbfB3hwHXC8yWTrI
yzaEwvU+9fDs14QBO0aYvhJdjmO3VgYXAbJ6Y9dIRRcjBf8m4i2K9MiTOgUB7ijba7mq5pepGdA2
wDizC9cO0CiJdF8JLMmWjp0YJIpjqlaC197I6l2D/DC4FaOg121GX2nQAIUKUvuwVKy0Stbsmzq8
a2UTpVSn7nSJIL28M30KEcMfROFhKC6PhWgu2zb/Vk6su/oyHuVp+FK1s+UQEXzfq5SlsWZr7hBU
X4ZWyL7V0tQqJupFWXcbkVwvnRgQ8YRkZxiXxSJ4JKT7blSQ7RLVk6hU+WaoX1ktAYhC2RhxUjhI
2krHTtttYqkXmcnJHT3t01KRgi2nn6n5aic3gn2o1sYW+mnuJgrE4IYosg2JiSRZpBBcJLzFYeSD
zr4sMnvXGUPpjhb7XRB/LqWZIbyERI2ssq9aXN0TruxJYYYhWKjK89AYPnvI46CDtBo7AT2lHlxl
NtNrM9WfuorCD1EpFddxNiqEn/oxpBCkxjauJlpLlwiEtxkhxn5lmUeSVt2mYdgiqdEN5rC1Tp+f
VOsulXx9Fscqjjc25m8k6ZTBBZkA8UBftUuza4HI2VXL5rGSupuEDCW3kJZzZICVNbXO00bE0XHi
S5K5W1pMlsAUazCWULpQpzlZZF8CEdlbqK1hwLi9zlVXx/Y4WAwM0nx5ss2h23R54zIrqI0GMq2U
hFBf64t+XPZ2Fb9QDhIboihwDUfbqeLktsuMF7uJaq+fEJIXtXUPRqFwlTzgIUbUDQ248/FAMjO2
l2wiixgr4Om/Hfe3HRdlyD/vuJckqrz+tXexiit+33KxUdvr/JQt1MARsUoXv2+5gPoM/Murz9jE
qvPHTFZX+CUL3zXtBETTK8LvfzsuPyFtlQEv6h75fXbxb2YQa1PlBwHcOpHVEUnTQ1dUWiG/Rbf9
IEqpy1rvRJRE55pOF7dcOlKiGtaVQveZc3soBdLip1U5siz11SLbHjwAPWBjop2+EXKudLcjRkX7
2yjaXSMVWvBMdlKCjnosMmJbNb0NDgqEAsUPmWiGZz0tuPXhh0SU7WzCE7XgYiyE0WdkhBOmZBXW
SmOYTRNoQKfZcD6auacIZTRYRzsYKrjeMloljjaRSbarw8ZO3CJvobXXY9aQuZj1NeyoebR8FuaS
Zq4wPXnpyFs0IDH8Jof6b/6mIOz6ya3//PXt7/p262/9cO/j0aczB2kSIKhBuff93pcBzXH3/UBg
+qNvRxUIJlEn8ECzxApH+r3cND+BFZUFEDgU1rT87H91879rvv+kRxAUAtjWcPkDOBAfMUts6nPL
KS28Cux8Y805NhC4S2zuzUnrsgfIZk41dba3xPPBCuZ8W+Qh6Uc9ljDlTZeG2h1tg3CZsXVpSRyn
0g6cxU4ui2iQgQJI12vkjdOVgpDvPLuX7XW2Hdu2r8fVq9JXCAAEaicKuUEZHs0s/6YkqW+oKzUl
jJ5MO/Mk8tfuafHLJBikxzAfA9cKjMHjbZd4ouJTGXOYDxX1kSMeUPBY52jFQ+eNmPE2Uxd8G8b2
TcsME/+LbPqipMNFUN1tmUb0CgvsA+M9uy+ZoWZIYWAQipdS3hmmZHg9yEenAo/Jaa18EUbyGlnN
KTdkcnEpp7y+aQHaVMoZaj3+5/CyrJZjUsbDNmkYm7WxejaS5CwX2uTEMdOPUXSTmyFD25o6Tuyh
HV+DNsG0q/QxHlJB3y2CdZzJyd0wzOe4J2sBElvNR8ooMnP7ts3ZYXOFcdrYbJJMpzlpL8cosw9R
Nx2BNsukNWNF1LthHyqMPsOS4R7+7tIpe0PaSHErPDuSl88t/J2djfHZ7xl0ggfttAN872Rjp9NX
aZhxMwOLcuVCDr02T8RWo3bzq1C7MGtlX+ui2szw5K9nqQAnX3f2Zg5l0oSz3F5dTKZb9EV0XZr0
6xokY7FFDlj9NMvVsm1DSEFZFZHvF1oxUWr6Bp1AvdeDYcZWFjDXqhffYiV0iBZ77ewISaAFnCiT
9NzPCvKFpjx4yizaU+CWLmNcmB5/FPaniPHrUwrLy+DHgUKbuDDbg6rWN2TnRZ6lDlCYJ4MbsreM
k9zC7WsoB9ywX16x8dORbHvMgpIOmC8tbDDaK944URHkzeLSynXbE5P51lQDPUFbORUjpYbWcSsT
izd54cAhqwqJ9lQk87aItKfBSnGS5UCGWmFlu66dMphC463E4HsfEJxH05Tc7jxgmQ4L4cn9wG1s
W+dAptqv9UzfITZ5tBP1hcA40M0T/papvZRynDykndSgAglKjmowZvrMxced7hWtbV7L89LphxXa
b5BxZoAin5oZOvX4RrP5YQp55tVUYKPGWujMnHxmrdPO1pg/jkWFJUDQeAzajuxjY76fQrYjMxgx
csW4ukabkO+ym900LVF29ON2zDTGc7SzA3qnjgJs6cgEtHaYytEqNoq7pQyuGpN+8GS3Hqyyb3FH
90UjGUIVx0Hghe2S47JEW5XswUjCNJ/QaC1nCGBsaHgfG/2GzWzwFP7upp6Uo9AwnZGnty+tUMUI
wBtnHN6O+lGW5G9mZ23aFKVxSYpwGeTzgSr7WV1zsmplPadO0DOJ5TAPwC82UHmnoHfpoXUPRVgP
JbyoiqiYSGrKW4099540wJFwRxV+gym3QwNbSxhPYVoah66tsvCchVko9l0t6U9BSO7FZWLEIB3t
tPN6O3hQIrCNxgT8TQmgiAXcLzu9xCw1Jki8R+473yAtnROy/NjrPTgOwG8kre4iEzYXZAl5N8Zh
4dhlcC2W5WoqoGgu8ERcKczPGeahz73CCpdXMctTmql+HybfIIZeN0xBdtIIEypuK/JuoAoBPrkh
JvNrPg/3tVEuG55i4FrN/WJj8a3l5Wzr8bFPsVZVlfysrDyWshivkjG/UUYlc7suaNdGasy9FlzN
qay6cwekTgqTCXv3qKT7olThN2jFs1UOMNBUkOdYKi7iNHlRSXcvk+llstRNQWCOswgID7rOc5gN
GBel9E6eLjhAo/lgVI2eYaHzzDF0EFehYsSbYU6+mVp0WPKOTEIalFYW+wqZV44iMIRmQ605Vj7e
5os2wUJh9YOOFW4KDUzGzAmNc1bsd+WEylbPt9ogK24+wp1RzfomTgwb7phF+nd9LltAlvU4Etgr
pLs6UkmJUXLPCKUNrkZ4+VZBJ4P0MhI3JM7DLqTSh0QMr8loRttxyo5jNQHTmLpjUC0PRo1prYqv
ZqPMcUiZhypg/Non1SbGG1614glFW0xcURm6IFiBXeTKRaHFgHDmwWHq62HSv7Vs2ib0qt/MwW42
48Jiq9EPT3KK19xKTf7FadOYzYHiFgZIzHwpbixg9hbrMyEBZAiRhhvfIg98rnsQETX/H+KzoZTu
U41LLaOqa/qyY7kZNrkSviW2vTOQOpQSPw0q8a0bkq9VqxxzNfqvnlzR5gYa05/Vk+D++/Zv2pfr
b/1eT6JvtWxOURoeTCSsq8T+ez1JLjYxb6vv/H0QTI/y93rS/oQilh/RlcOUvvYov9eTJHDDEsYU
8Vtjk8Htv9C3qmsj9M+nKcuSFea/yG9piiIt+3P7chqDMOUhAHy/VNa8X0xmIC9DpHXBlcotmudg
OCV1J4KVoNZHt7Me6vgz9IrUJvYgFjtGmFmd+jAiSNc1cnknI2Jkx9UYxw3lszIv3M9G/AwdBXW6
FrVe05rHDMEieTvJOante2LAOsSheN8G0ca+mBdofja8T8DEAVVeOjikhUK5abrMi8zu2BeV7ShW
/DAo5jVgIyTeNCBKvK0Dq07NLjHIOdavpLxekHGUZrlv9dZw4qw0eYZhztg1kQdxszzbSXNtArrY
9TAGKYXUsyp32WWvL+VGpEbh0YwtvbitvxEM/EwwCD0uibTn+W2cVIPGJ9mwkhZ6WV5cTqr+UBUh
Sh/CvHZI4ld9L7FeaQWlSiuBDi+oaV1lmI5ApxJfbZa3XgQbABIr4GqrsKO3FSGycH+apvTgLtLa
gxpEwoT21uHQTEfkKra8Up0uCqB0Cx1b2NABLHOL2GDAdaSMFxDaqx0QEH8qk7sM7lTXFddVIx8j
0Hfoi8H/GPn1wCXtwa748hQ3xbaTFLERZnVQjPwF3gGqLyu4kGn9FqukWX9XN4tV6MxgvgqeiCBl
C2/ftdBkGM/VNleg4QEuYjC2JMxwzSF9BVbGttywbav9q91GG7r8IUU1P4778Q0mJ76idrKdfJh2
3Ryd9CIQPsFt86buom8cCRonEfOjKdt33TJdwx170prqIJfLYzwktmsareZbof41VidoOOH8lEU1
i2dXWS5lGmKaZnAMGQmR0VwHMBDQVmOatOq7OeZjAdRHDxiKq2BqIfVHC5IcThFRB+owNW2/Iyp4
t1icckrdX+HaQ5cx66t01cO/eUpDW9sagD6aYNnidwbYlcNWkMroNUxr0Db9vGzEyAEmmcOtKrWP
8VjuSh4btxAUi4LxeUXDE6UWlZNipvtp1AOa1NKZJueXppMPZqUpEBGTz0YQhT7BIhZKPXRStqB0
Bu1tpRYKuPJQGC1mihx4wuoOj8z0Wxt1V1WuPw8tKM4MjVY6JycaNMdqHYSSpnYsxoxAak0b3ASB
UxPRy0i6YdzW1OpOF7HvqHb2TEbm42KVfp4Ze7nFR5Jq1e0imaTLRYIMZdX4jPD4dkJ2KdvjF4xW
DO0ie79M9TEIRXUMyvaLCfWTvs6tZJr7SBNXEvSjSDbfqNhOed7s0pJ7czFnqAIKSodBDW+GAWom
dRCtf4b9ke0z+Cgcnh7zqR3aPTrt/iYQwwoqyzaQaY9mx+Huvy7hb1vbT1slG3CeRfnXNqH8Y6sE
UL6JVEnIFtuRvBr3vm9t8iebi4k5w5T5N1bewe9bm/WJf2b3AhSwzuzED1ubQZ4HfT2wPOijFJRQ
/2ZrYzz4cWtjHmfYyKUtBfSioX2QOKU5vF66CdaJR/sQdvVQXHajOsPByIeqKgn37ZetGFtYaVEe
TvclZ+zZK+0C4GuXRI+T1t7mUT17Ed4mXAyIUcbQSxd0DYpcqF6pZKZT2skLhUQMJcWI/VmC8FEs
xgkmN2evTHosqb4hUD+Mfamk1x0I6FvowDt7pOS2OL0AQWPJjKVTGhRidDh+QTuWwse56qIzhWZs
nqNsts5GIUDQ6Cz/DDvAo5SeEeRycWdakrYJGjsafQKQgu6qltqIsYqOsQJ17viQqnakeXQOdnGU
JPNOlZvLMdEPY2/cGKE+g1At7uUlu+t1fBdlVL1yIAeWH/UveUd4SbMC8xTtJSrAGjWSfjJ7lfDK
6b6PYsPV0LZKg+RJuQ72cA141CsAW2IeEYIWnOIUPXogT1C4OXRBNTRu8bhc4Utg55Tir6pt3eW9
zuSMo26b86UYoru2INQx8YfVOPL3HQaD6dOshXD6xngnL/bo1fU6v8nEXZ0p6qYsUlRh2spAS9Rd
RIZAMQyNl4/xXotgQRoM7eH80o9t5bTwgaRkPmEHB61SrwO1z91Fi8gD09Vdmc4IIARnVHv+P/bO
Y0luo2uir/K9ABQoeGy70X68n9kgZoZDeFcwBeDp/wNSlEjKhf61FopQhET2mO7CrbyZJ0fjMA0Q
57Re/6RXaAh9W6y10Ab84rY7WsZeAb6cHN89tSYP9cQj7GHO/i1AumHtx+12DLVPtj9vc308UFRw
QTSnBqUig1qSvSBZDd0grD93lYYNJlE0TGnFu4p9TGpT+cRbuuP0Hdw9WMRsy9vr2hL4nDqvuuhs
mp2sObzK/e7axksBe0bchLVGXWDuxmyXpb0GEN5yaYwDDCRPrIjhFkXdseM32FFLRW1KshttWG6O
3lQbfGyHgoqzsbEfRdtdsPe9S7sqWyd6+1BE8U1sxag+er8TkaMdUqczV0MsbyY3vIOHfD03sHMg
GtUBlS4RiRtquYUMr/pwhk4Tagdz1N5lo8WBbtXZbrJDfTULn0t0jx0qstud59I8LaxpPla1e5lO
FUwabIAw3EpzXQwsxBtLnbEg/UT9zDHpPZop2uTcSYGaJfTOU9gidrqfA9lishR8AAJLpK9se9V2
8rtLtrpPg4bWxkd9WKVT4azj3vxcTD0Xq7q66ed63UHenJdCGdcd55VVVhCms+HeUHO51yzenWGE
Eb/NE+QYY971rvtkK/vWEPyGhypjHyCNA/M8rDnPg6oGT93Buos30LK2qkkvk8gJHC27KfLhIop5
b6vYJf2AgpoU/hXOG0BPOS0TqlZm0MhxWjWlc4d7YGAjp38ODYvLZv7O1eXQKFNHckUVCTXjw2q1
h5ai83VRFA+F6oyN4fe3XJvFLnGK52qyTrZWsYhfJo7WOrrW6FybqVe7jLY6eEDEKBNRqjJs8HBL
uKC3m3NnUa5mJCx7mN+kaTw3eFT3/qJy1chd86J7eV3sBZaEh04jMVIH8hj+5Pagux2hLDBnXq3n
+0mvJqxV6GqQ7l/AEt52RUe5T+zhSu9DFcieS0Na1yV2dR1uAqbmzDY/hnmitM92ztNFz8NH5e6z
ReMbFrWPlCdzo67g5FvqXRv4JItFHdRDZV8ki2I4tA3MLnamgYmcqBZdcfJoxBVIjdmiOXJzR7lE
hUwwYwZTGtfnBRLlhFQJXYj7yqJecrOLVqPJu7WW6buzaJx1mM4bG9kzssxF/0QJrZBEsxgcVuw6
+dbz5mLFeTjvSiRU6dnbEkk1UuGuWjRWbFUO4YAE/1SruOF3hb8dF1UWIld47eC43eJDOzRIt6mb
0Pm7qLltQzsrhHp9jeg6HeO+/5QRltjGiw5s1Cb1vDXlqhka+T4uy/l+VgW/GzUhfCxqslbye40M
ij1tpGaz4NYghMeQag+nCDk6RJbWkrmAd1XLbZjN1xLpOordW09znTN8CRSHLvp2j9ANB/WuNOaJ
B6JAPzUxBvYob0CmunenKaDqL5r5uKjnkwCoRUiAEF4eX3VI7GVIEDFbVPca+Z3L5hkxk4CB+WpY
9HkzbXTuXQrGPuK9j4jvUf+ctyFSm8vCgsZIm4yOjaffmzbhsgWIZvYBOosBClReq0y7ylkYZFgW
1vqyQ0ilQGGz6o+cWT7CWIAxho2DXHYPPcD9QOXAc5e9xMCCIvR7qomFPgSqkeG6Yo1RQsXap2Ma
PTRxTjQkfIaQimmRj67LEkQW3bNtarTbdBf1wFvZ6or30Db8jVg2KD6rlH7ZqVTLdsVgzTLrGKO1
PDkXtR0SJclOuWQSsXim2suWRrCuGdlPun145i17HIoMj1zB/MUxRA61fCxY+YylwQpx2QJBO13z
Cz02CDy0G37SEHzUqPUrBwmobLQ9S4sPD2moXTSi1q1ZgvBfFfKRnupnc3Qq4KJJlKW6zciepm9x
y+E7aOQ70aHomFjeNUhTLRoVPoEt9w5+PYt8ldbtaVwELZBVcmugcaGFmSsD1StJI/5nDvABTSyR
1Gdai0xGB3myY3J7YQI7JCNVaIukZqKtzYvI1qO2Oahuoa8ehclfvshxKkxP2SLQmUX3bkXkhVyk
uxoNT3cLmoPLB2HywPPLaGcvct/kEZXNknu5CIH1IglqaIN14p/RiOYHJqphr3Evdcn0rmcURUD1
M9eOdAMHsYDxh+zYLgIk7RrVqlxESVNOt8UiUxqLYBkzd1KXmWzYIC/Tgzy4qJsKlRMYb7KNlHc5
iXRXsTtBeTe8nZzKQIxnHkppvEim2IKKtY6KmqYDYS50VdrV3kx0VkdFbx66q7UIsFqox/yymldM
IRQIGBi6eRAP8sTH5y6aiCUlnfcgapeoKf2drdx4ezPK90aVH4YuYylg1telI3HM6mXiUHVs2UID
z1xV+pqYVyuP2ci3bNLNDaJwW+WDNl1P/HZK3U60wAoraJyzq5LA87NjReRqNWYanzZN7mYf3oms
WFJhHw3KTFPbxKoCC8BmEA7VE9A6MqweS4VhisQm5xpryvJWWQ5Kh0mpQiofAejChGTw0kIaL33b
P8Su9Ur0+GpMfG6yLvpHnGDRYe5q2V5YzcpWg1jRHjryOJmYC3UebC2PNH5/y++O2bz3kSL8+KyR
sD1zzL9j514MXXIJXfuMIhsfpGP6KnyWUL51JuaJ6aaq33i2UOSSkzQovfs2Saxj1+sfcwi/dk7Z
IU6DB6S2v2qoVGfI487PVQL/XKwClORPUhV7kw3kmj6Tedu0zpnV5DcGG4Oyw9NrF5Xac+6e+XDW
XTYsay7t7b4f+ESnBi9Ibm6dWXm7asFHy3ZmA1qnu9pg2vVF9pI1ydqKLzP2GSnkRjWaB1sSD/I9
AKRtuZAiu8vCRuadgIViul2riXVrpF/YdEnl5XBhGZcOUro2N4GUGgwRvXrMVHTo4uS5c7v72q/Q
W2DKeXI3Ou4CjFsz915MjfGS1PTrtRonYxEd5smdD2mfY6lK7+OEeJbLLLiJUcpPnAovFkyfx2Km
4rRq0tNIHDlocS2vp2I+V8NEnbkjnupBfx3T7BrjxWtWewTRWqjTk/+c29VZYsaPhYp/xc38533Q
uX//tfdhk/8vqCT54z+50/MHv8nVWH8Wbw03estzMNdgZPjtTo+Nx8IxC8vAIf67XNy/3empXXBc
6zcawyJyf7M/eL/YZJ0ESWYoCg56wL+50xOD/vlO7/H36AjqlimomVqcG98TaZooHG1NDOSPrepB
LQHEgSSiRpEfB3krr7R5iSkWTvVkW7gRaWxuVp2ruZgZaHlqtaE8Qi3EPTeXcq2Tf4Qm4FKL4AGL
pktgOy93rSIhKWJLip86q6+wW/oDjlKClSkJy36JWpqjFyPMufc+KcwITuTWmYlRuSQ0UfyjvSSz
2SXjIyPMUpVU32JqI/mqJf5e6NF7SeJzNPUTbUEXlY7dDQVXkExIxXayBRZXbtW5SnbTEiHFgXpK
p/w57Ixj5/CsjUmb6kOUb6PGwZCnCCA6ZFIdmVH0ucRU5WhPW78aP5zK+cCtkgaUCPUB4+O5P5pP
JabUY92TbMLK8moMTKNLJJYv890vi8sMzzyMMXetxU5VPYwIlxtDF7tMUFFn00cH82EbVXSnhFgt
Zrv4cHKxGZfuuiqvdxZtdq5UNwpI5x77iIeya0ebTM1zkHJObHptvHRjhvaEhryEprxhqcxDKvrS
78CjdinUS2nWozfgYDrdS7FU7jVL+V5PC9+81PF5+vTg5UBTr8aWGtG6G5m2c8+S/hldxJ/nPuZa
NA3phgiRxV6AFIS1+AiLBGmjSVL/UDdTfG1mxj3tL8RVl1Wt4cWrOcrM51lnwMd56Pd3vZNHF6jn
9XHWC+nT4ZTtgV+wANZvRFXZyD5EpcpkankIJQ+JIvkSxr0H/7hLAzPiMl47NbXdVQedTauuojRk
fsWpajj6nauRYFEpIe9+3Ou5c7T6kh/xVARhOj7WdvLJpVs71ADDloLhW4FPZtPav6LuTEi25rNm
5C9abcLBj9wdbgJ4fHGKxhPdNi6xkbGft5rBtaxZXLNlFowwoMs8O3NC91z0DG/exEwzl5/1vPI2
A/mp5QZCJ1AW2VBy03fhaE+2wR46Hm/yuDubBu3O1uKXLs8/IFJDvey1UzPKC90M78cyPU2q4LcV
Gg9Rgfoey/AuHF30NH5CtRFZW7N2afzx/IvSsJ5DV93j7p/xjOQpuWM6Wd1Ef2st/0ZJcIFcQxjW
iOi7w6US1o058b0UYXItW3GgUHgNHeq43MnJ/J1qzX6Lpu7Bw8oclTZ9ZzY17PPelAVhNtLMWTs9
2b3n7dKIQT9L2KdwzHElapiEfaaJVTgOyXpI5JNsi6PpAxo2jQPOmwfubFBVCYisG1Mdamkna96w
VKlp+Q19Y2+1WVBOlAGHnh1vx83A3NAg5G3Cji51IyZKWPlsayxicWldpAduYuuxJT5tUKi2nLic
UoIrrzVcVaCxVwb1v6QPp+tIZ9UuWF/o/Ag4k67Nictw77/bztJ84jr3hmOdm1aT4q6f6KWaUHyq
5YiTMeNspN8afsmwjqPDWAIKLSAaX9j5vhioK8+xikRYttcO77d+jm6Fbr25BRukyPDO6SEOd1EE
1CVt8xva7CXFbjjUJ8N9MxL44KLM6dF06s1kLhGphCgWJ+k2o4NJdnN4mzZkLxMp7spkwNLPwu69
jrULpxoGwMycEUnyqOLhEvlyX9je53mEl9CVZOPjWqdsrqHoPWltjV1fOxePBS1+0fkMEZV8A2Ye
uEEn25N3/pKHlksyep6rF2J+/qa2BhP38/wUDiSj3aF9czqtWc+9vKJ55iImcm0SvR6JYIsli22W
8pjPxibDiYm5yr4men3e+4izzpLkTol0e0S7GXlpM1zS3rZCwUrm/s4kCJ6E+jEnGJ4O+MwzwPN8
NfMTpqzztpkeCltd1yq94v3AD4GYeUHcfLZjHfYCNXmDXqIkDf1qaSAoCakLVAqd0Lqlj/elQYKU
MLtDqL320Vg9/mVc8u5u7pB8XzLwvpMYZLHIxZc62fllFlNJvS+JzsslQ+8Spo9Q7DiJyNfbS9Ke
uD2Z+zo9zEsKX8vUofySy18S+lQpGgfiFUngL/l9LkJQAHWu9+S+BLJswgqPXdJ/a5avaxYmmL+e
ytb05cnX/62rtvszHwF/9ttgZohfbBOdncWJED8NZsYvTEJsU37v+Pw2mHm/CCzSdEFRQfw16/Tb
YOb+wgxn28uORJiO+y99BF+6GX7wpRJWx63A3+nQMgrQ68fBzC/cGay7PVzmA1T/kOhqxWdiFNax
pGkzXadOcY8vDNfPqJ15pYH50kYkUqkTxKSmV6JL74junDJvvB0wEk0hj8Y65p7WK29ezcl89JPu
QcG/dAuuPRim4G1VeNUo5h1HhrHeWY+0JSdzrlYFjSo4G/jsuP4Ir8v8TPUGXs4vRd1JxrCXmMaG
galhI0+fQZp6LLhJVbChfp4cjpM2t6YNYKsi0GV9ZzkAMsBaG2ubOcfEVb6mgmVl4TpbyzJ8zH0R
0MxDYrdtAztRb07PFS2k1cAW7jtQB54qTvLkNCMHiuughhN6bBJ3pVXGE9kV1O96BstubmNWvzQg
0BHgDHYwVN6+HVHIJ2tA5h7Gt6kK2cuMl3rFndDOuueEGYs0dbbLsvHg0da0FaOSgRzo1POi+lOk
W8R7RPlUV3ZKrmIwg7DvPpzQmC/w2r0m6E8n/BkUCthGscIEiKDhiRujdWVgVSFRe7J5kDRGf6dU
dhJ2Mzx7/sBB2FeywxM2IJ+4CS0GbrXNJ1NHTxznjRdzwEX+DJAYjeF80r0xyNiNbz0YL+S+tGnd
QUBYoffFG1jlcjPplByVessFUq8A9fqquzVQnh/g+/BM05eysDbXz6GfUJOtsuy5kpA4IHw5BIeK
4qaVormKHSM5eEKOZyT4TVYpeXXEIiapuLSs9CzEKBlutGo86+VMXnYu9PBt9BLNC5StNTgb9eus
8sUmjlV9r0/84HchHtsXLfWjz5aX95tiKaMH/IXS6nlcaAEKtWm9YF+XjY4EMtga5x2LbFQV8nrR
GTfzZ70lUKM1/YWMS7UPw25JrQ1M/mblbwm4DytrrC+szui2TaFjapTdphH+KUTdXGU5J3xpzmaA
ewznqJUJto9eErjFBFKxN+Maatqta5Y1VZBOdl7hVT/RfDo8+IXnHRyMTKtY08Od5pXUjWvy82iE
2r7AA7tU8HwFo/93xV7Cn399mAcf+f8ueMt//MkV+/tAq/kLH3o23cyWHJRsuX+/Ylt0MlNDZdJP
87V5/tsV2yIFq6MFcs8mY6N/Cd78Hq8xWcG7nOTOl536vyIe/nzBtmiphwRoOZ7um5a1oMm+v2DT
TMGsN5dI9PR26lly5kbZ2hz+qQzpa0zn9wcG3wl53eWRJcj2UVri/vRCGj4hamwzdWXbuF66CFTJ
xp77Y5EUyOQGbBCNqB01etUlfNWzJqvvXYNWnBoS01oVabfJpMjo+MP5yWdIX5sUC640mwgtlucn
1daEBrwYY9TSvxy3+W3NC66NOr+q9AQbiVty+2kM2j20gTMdnzgcAe/UFOPap3l6XTJzBhD+96aZ
ldvQGbaGZeMLpreedTobMNd61Dz33Ldwn/NtPsVWXq2H0b41DfNGK8YLTbMvKOXDm6kWOqPnH6Q/
XKiwiDhDxD3WGETUaCAZsRhv+oFdrjZvldU/+p78MCL3JSqmZzkXXF2o7QjyiaIRGZ4ct2AIc+29
44dy13INW5tS3tNusk+Wy08exydAy2+lgpsxFHrNsUHPfV6NdaD1qNm5VfGY6OYXUcAAma300vI4
mL+QFWoWj0sRoCvuyX+eVxSTUTox3bhNv2Oa2EdOpNFU3RZ8oSaL566ky9qwMcfXOelPtp2u/8I+
a6OjmPfLnr7trQwzOxwYbI38/tJd5vafvQmzgO7Y5+ztsBVBmQkazHnCnS4M1a/HCTegikWyzUR+
1eRxujVNtZsL6zyKwmjVCWvnD/xsY0XYWnPIl9R0MjKC7KEg3VQlmylzbh8SBwklarlYEo+5bVV/
oLcSbdXU38FcI2yr6SFPEns3mvOlMaLttHE6AKORn0RufDJUjuluFPsqJwNJaggHntrRKH5dkPYc
3co5c825xOpRvsOveYpdXBrIT3d431gCNW62Vz1aL3dewwy3ACV9ueEtBtrLIvksyKG+lmkVye0M
IGda2w5MDNbJGWuiyZBRu7dUUwa6q7bCU0s7sByPeW7DlUIw10NxkJb5iXzvIbHRwuYKFOSU1cMD
y1P2Tpi6dcqoksXSNookyFLjYNbWXlAH3unUp3vNKw7OG5FpHx4gHKg37XXFu5HWaiSqqO3giKmA
bLU4EGmgf1sNZwCDqkBjwsIrT/y4HRIamSP17KRuS/y6Po8SPVy39YhrlIWh1YLXzIKha/dKdUtH
HLWMxN+GVL9KZUUkmY+sWWZX+MhOuaYd5jymBAFVje7AiWL4IfnkKFIQqUoBefTiJu6c3Vh1H1hx
1Br88ap06idiDsD+DrEFIbTT9hTSIC3rL7M9ZWs3R32Y8pfcuiVaRJt2f6xZauQYL1J0QDAXOvVY
VreKqSwCmbIfDAAkIsajSBcUJX5pt9UFVvlosCjbI1fLRTUINUmgWdW7XpSXU6WeZUUAN5msh67T
vfNaS63mbhmPIoSpcF8ZBU2n3z1grr4el983pv3EY1xO0aW1EPMjZFpcxj9jnNqWJUo4OdOVIkey
snbhcbytzkHzrLTX8rHeZAfgeqvwhP+wD9LdP3Vp/Ag/+PXlicmBUiCQ5vwMWpZhbw+a089Xg/ta
hwefCgJ/fNHo+fz77/PPXgeNUaeCS0dEXqTu759KfsczKxmH+UokZzEzNOKTHx2IePzD6/z49Pv6
/fDz5BkodPTlxXf9/es0jVXbvYh16pFO0rmsodbE1uPffy/WjwzNX1/ku2/mpxfpY11vjWz5oW3b
B/Y9m2Gvf/IChKjqHERUtLqRG7ki6bO/v/CCfHUxnCfbh3YTbq7To1rtGe7PuoD/Mai2/LN5+Puv
z1h+mD8+mdnRGrrvmhRtYpz76evL+3nGyKuLK4grF+G1vtHPxWN0NNQaexF47OOz2I3ri2ar9nSR
FSc2t9f0yW/V6leQ93+DpOA98deDJFbztyr/1P1xjlz+3G+KAOXU2CuXLIBDRltgf/xtVWORH7CF
bdo6msEXjNyvigBZ7AUgS7TA5FOEWZhPwLc5UmfEJIHCUPbNtPkvkgU/fpLYz3hLybXvCfoWDfZI
P5kvu54ed7ey1RX1qRHX/+mmanff/VD+5PD7Ooz++E7VbWxhhGBsw+FDS1D9+4+rQI1L06ytr0zF
yEaC0m45pGPTKM2rWCdztowUY3Y9V4njXcRx7D7JyDWyaw/cyjoG2WZwN6zX7Vgdmng8S8J845gJ
Na0CtxKMn2nKr0JbC/JKO0wtUKCmuu10nldTLDZz496MSbsPp4Z7MzVqZUILn201R61Wl5A13sht
vWphGPR1fUjz9ImNBF6DJIY41G48Iz+4McFwMcrPsnchcCUqyCFb75LGArvG42LV2WrfDCzAeze9
Bw/amO2ab+8pcvSD7vMkNUV9bMbygyR6jHwNp2kqPkIaqdl41TTe6VRuNa3c4nM/CztXBV65SJgK
PlPt6m9jWx5NSytw3pV3g4iOoWHcyxEKtJF0j1lBFi+e1HvrWMfJkuW2SWuiwqOietg1UTpCex1W
8lYmsD1cCyBsNJnnRcRDtWvN65xwHyz0/klLTW7s8LRswy1WntF9hnOJNSwxqpXbVFw2rJOrpIVu
Sy01FLx07+hgcjA2Resx7ctNUhvo4INHEzOZLFFUWDtxdVa9dmMrjaWAkd8RtgVU6GXPWiOtlaHq
g4+sdJF3ShAKzI6tlkD1FQ0twF50FnXvVHZsfXSjpFDG2hob7CN5+RjOg7UOG/glVSSO0utl0A3u
joLnd5rZKJGY5Alu3rvXQv3y0uSzV7DbjyxvDojU3rGV+2wlak2n9kfS4GAULTV8BkRcgepTEfwb
jPZNpKm+lktvL7eLA92f2BXhaCTestIzGRqstgOdp+nU/Jb9FVL0/RD17RqAIPb5WC7G2tto7JqA
JGW/LkMWDhadfQOk9HmhePteSlRzgPmDtjD6w2OmYydIJudzmvovQNF4tCnGHHOE0KPRZHleFjlI
rTSp15wr99HU3JaWXQPGpeE9d90grmLFm3V8GdJ8qZRs+o2n+Hm47vwMV4aRF847JL0PSyhnO0j9
PotyTBSlsRo1xIoh6jDXaZ87zXvWvAkVOovXNIxgmR5D1iMbl/SRsenMCSbNl2FJWZJ25pqfhs+t
q7mzI0XpJvgU7Id5dp/ppn+w5zG9ckx11zQGrPL6A6rCgXRxvsqr+pPoGjyzOOgQ9bH6ZYrskEzS
R8vqgtwJyfU6D6W/GXdTPKVnBczlRNNuZJ/6C5GejvQgLAjiDNQzau5YBdKvq3Wb2zAVef9GZs0g
ap5b5J7W7hKZdtt1zWcTnY2yocp9ij37I9HHZsWxRux3FtsCguMQTyfTs17p7jipLjlSu/cc9Va6
nDk3shQbsNc3lTAPSmg30+QGjhY9GBml66B6KqGffBUt+OKrqYjP57bbzrhvob9+wklC9bObBlnb
ZZsi1NYZPG23lYBzsSASgb5wCXLIJqNmlYUsFm61qnx2xqmnYSTVLqdOPhSJn21Co/1oYfoazfio
tR92zztxcNytaaVusQ5JjrAhDRURmrSfNG0DudF9cKNhBNkojXUaQRS1vbqrLzLTfCoqS7sdZ8C4
QxmhEKacW6ussuoJDM9s7rqpkmsvZ0/rmcVDRhUvAO8npfKHttGeWb2a13pvz1c88JqtzJvXxhCH
WJqfxtC7bGbIvrkfBWWBxc7GkBgkzUDVSgpCEDagfweXcjqPivg2iaI3rNDaWmW0rEtcLOTOOmbk
EhMspJ7n0uC3qOI76sTSwDe1Yz+0T72oZjyQZrENl3tPzde3GhKePWs/4wzotdwJWlgjl1pH4tRJ
8ZNOk682kQQozKe8fQz9tscT6BZ7Ps1e0ORdYDnDsB9Ep3bY5iqidtW0U6Uer4eccFvUYSfGH2jv
FeLyns6DK9Tem9aKF+fMLh2WIgMthGaNwX12xB1b6ScpxtvIls4BTeKp8lWFQj2HX7k5f9lD9cfx
UOcq6C1PXIPs4lLm8f1D18l7CGFG019VnsIrd5l6dw5ftY16TqHk3z/if5willEZkcwRJisP+DFM
5D++VttWYwdsSF154SbMHpppG2v/MO7+00ss//07nAzZxTxXfa6uaj6YYNVX8fBi1bf/j+/D97nA
MFvBrfnpRdoYcT4tlboy5V1D6YwG7Pnw9y/xx1/Loif+/hLLFeq776PDXhoJa1RXlndbNFtS1hum
kNJ9Tad/eKVl/v9x6vrxlZav5LtXyuPBLpyOb6ah7kiU+OiNY1/g6toMBenu+R/uZH+8+wkPxdO2
TJ3tF3GjH1+uI50+y04omjKeBOxK17mL4tNUPH35+f131xAoq3991zgU9YdMXvM/uWvw577dNQQX
ikVgwBnAhIYu/PtdQzjsGDGEcRiYhLeWxd+37SMXFNMEUkNjxDcG9jdbmPEL8jfJLIuGn68i+L+4
axAd++EtCQkHYA87TnIPUHb4FPx0TgCUkOWoNdP5aNa12IqM1PV57aL8ftbnGULhmiRlx9PdJCoy
7ysnA83KuJxygjlWdhMaGDg9jAd7KQZ3WpmO8R6xslmDx3lFZr6FflxcTRlSYzM7xta0AeNykWrP
K8f5HNceT9yC7Zko22SLL59EaptIwqOkc7E+22czJsqDVuZwYdCRymk9OgiFaRrJi5rwOE8T/4wV
fXZimV8Gba2mLcJ2vepABq5yJNw1ijExISJtF9YwHTM7OfOqLjwVSZ5tM81HDsBG4jFbO/kKfXLa
jj7wFHMBezfMeGuRuXXQjDwRG4/2bN3SnnNO79oZy6Mb93cQ/nSGHcy7mITrdeRP2oVMnXeYWFim
Klfs2B9+ntP0BScwRhJrEAWMcCLCtZVO9xjgQxIrMcxVk+aZOP3ootl4ZuwlHERcbTs4eRO4bY4D
hpYZMrd+6Z9w1IiNo3TtaNWjfmYnZbdLUJNXkeydMwlv1cuj9JabEMTh6U6rQR1VVmntdK+6dh2S
DCjgZHx1izVyxS1uzjBlW7qiy2jKtDMR9ximJhnbNHFHpLB0Mzt14SS6XVRoE2PyLKUjL2N+d4NB
MO98opWdzFcE8IM+U/4miJG+Ro7W8xuiaAaM3kPdTcadZvR5cjCGbD7KofQvE5w3DbhID2ERGq0Z
XvoYpzEuZ/7nQfjZmUGGjB7x+ZZVrhiD/06vL/6JRdb4m9OrnP7E0Lr8md9OLvsXx0IgwSwK8vWH
kKqgNsfX2aV5uukKFiK/n1xw+B1Ys3TDmDxzvOW8+3Zy2UAb0Bt+redZCsH+zcnl/CgGss8DHmku
X4PBV4Hg9tPD1KR/W0SD21Hn6QAxrfIkGKuCu+Q1CvxMLiDx43B2NhZ8rhgjzpCpjS06Q2DMMaaS
hu4pgTffeEkzgXohemvDSVKw7FdidBpKIe08NiELcLvjk2HlCbFrLUwHA0S+X5Uvs3R668rte1+W
gavXA5UStq3aERxSk7av7tzJecZwFboteYFRDn7LRTyWu7St/fO40eNDNEpn1Shl3TcVtAMPV1PT
V5m9srIUaaFRw4nikmlLspSW8Dzrb0i6qze9tO0a32kcvQ2WHLd5CyWe9XXFVbYCjq3Z1hYPYkwC
UiCMesqcroVr0IDTV+o8K111IbBcBZIUZQXMb+lLMeSrl1CtlXeEJ9YxEZxDbKfdnaEawhZxab97
c+7vhjhXKADsCrGL7WBUmTferFPQscRM8x48LyGoljhq15FddHSqDbHnbjO2o1urFnj+QZoujH6S
sfyaun0T6piiRM1y0Pdj48WcoaPH8wyKNDN64y3jjnjqmzY6TFR8PZl2awYMiuxZ6aIOZq/oL/s+
e+dHWh4a3xG3ok30fJ2yFD63FDkxmz6kiwmoQxBNdnJhJ2278/1cbtLZ9y7mhptC0ZTcSCZIGDFl
Ze9kLPIzfGrtQ19AAm79tGT1nxjntLvn5D7jNiMZGSKrjI1zjSCgbTn72ivQNXVA7KE6IcYPp7bN
jgSQZpZFmrdt7Gn8rKw433t1ER3HKrH42lJXO09CR2d727IEhdGOdNVxhDeTV+7qiGgmqNZ5NdqS
CW42/PCYS815QNZ4xABtnBmaV1/y5YdbLWPF11YGCS0p9ctpjll4QVA4RAmhG2oTUq7b9XQTS08F
0NiazZT04yYa5nDb4tKO/jtZv7JtbIaovz5Znynw+ONMuPyZbyfr4kjDig87hqi/by3i62/6M440
pjFUYNdZyNycx99mwgVfY3MUkwcgQIdz6PeTFZyAgK/tMcB5iyPgX4G5oYD/NBPyF7ArMhlKoZUC
Z+aL+P6a0kmVluSNxsu6C0ECenR+hPKuM4DYpsbUBSw5Kii5Ir80uqK4bftQ7sEr9vt+DgUBYurU
4XYtsWPzwmTW23Q51oDJTWkGcMCy8OE4xc3w5veKJp4Jn2/W5OOVH0UMa0Xprn1AdHcW/YZS7+l3
J7o3JHF1CfgGJ7cqoxs821g/Wa3x7g0xFQhxXxCm3Oe52e9SwCIsow7m5CEp9jSrWqkROAPZuDyh
ONJy/BdNd9TeV95DORvJPfno6jzmobDtQIKttazkDOdHcJkIGDPj/7F3XsuRG2m3fZX/BaCATQC3
KG/Iomk2zQ2C7CbhvU08/VlJTWtaGkkRinOruRrNqOiqkObbe6+t9/6+wbJ+iSYTu3HhF/upBrKd
R5a/r8ulB4PiPlWcPRmxpnlQDsV5aOQu87XnyTEQPathBXyQlGkMf2WwycFH+saMxmPWaiesal/5
a15RbcaQta+YPQsOX2UWvzij/ToLfLjEDB6jJntsnRKscRxNBKqT+97umEblGo6+kmoIEUX7bCH8
r4ni3Yo4o6HKH0XLwbFfSix68Bm3veZE2zgkOls6yzNvNAufqO+ZiFzbuXzzlmRvhXnNb2J9D2V3
QzpqPGPXagOMyTquLO+arD7Hv3C5dire0h6TfiOnm6yw3kyrfcRf9k0LyZZXcXzM8vkiJlyBbm30
WO2RGrTJPHBVclYUJ0KujPwLN1cg5oW9F8S+sE1QVUGzNX7b+LmOllvbtk9pQx5AmxctoLEDZ2NI
gE14TeZdLKmn1puOWVMe3J4IrBtHJzpsFghCtF+uc3JeDPacd41Fm/A7I2xNEjpBYA/91LnSx5zi
MSh+roMowPD0DKEXFPM4pkGoQOCRQoJL2OCegoTTaGHetQ41YaPH+dmGJd6YtY2sAV48IRO/qSCO
6wo9LrKFP7LCkdNvD/FaIconHvCVzifVgl6eK4z5mNiH2eNkUCvEealg57Dh9obCn7cKhE5FUqEi
vbhNgKRb0NKlNPfY7pxD5jhfWnjqpgKruxDW8Tpds11y5qeQNSgUhh2380HzALO7TAqDWcHaa4Vt
n1skfQVyD3vnrCewlnwFedfJBrf5APYd/jtARpLUVcK7BBo+t546I7xoUwSFDd4Sm+uu/8TJ+wVm
GswTQSSZ64Ocj0HPexxoesWir2t35g9bvNRxd5xdxIVMc5FnE8O4YBVUrkotvkuTJjqWNjIFXKfr
scGEmfpiY0qfjEM58jmnDgga23wrDXA9sqmzI2MUD5OkGe71prc3XlfZOxmRUdW1piOoUp6iWHc3
MhqsYyei5dikhrazq0bfVE19K0hNbJdMHjU9eqq1wrox0wSLFBGag8buvIppltGsaRXNUbgRaf3c
uGn0AZxKQUUH+9ZN0/clXXoshr7Vt8G/N5PPm4nSzf96/7x+H1+/v/7vDqpe9dsOqhRXhFudHRIZ
12Sy9dsOSn0YQTdSdTZCgKswvz92UP8XhhxkCAQ7rKte/t8dlByezsaqSMRIrkwZ/8HVhEnN/2yg
OCDI+8HQIbrHT/H7DTQckpqMRCIvSXljSfBiZignOin9h3kxp0CXGF99szxzoL5DznnDAKatXG0B
aBHndEQAlgjc3qfL0b8w26vI94g3H6EpH/yvy9I8AJz4GOj4bTTAKInvPud1UZNgFqqLbNnpZnGu
IMDQDDD6JPas60lvYli8uqoKzL6KSCxbqxKMXcJmxfNDM6LpPGU5NHm5vGmhV1L04O8Rqh6ypL9p
ffs68UJFCWFEms0PVTVjcBh7Ms0qgK11J8NLsZ6VABTnit+ZxBrVQMxLDoMXb/G9hyp5vy1j7ZGM
+gpbSkDE/zr3IoKD8FFKlwhsWHZow1ScshYwa8k9NYQJGJx9r/zkQo+oAJTTSABaxToZSRQZdbda
mpmaidRi5g9bL4hKLd34mvNcLBmYVMYsMFz1/OhCjFg3k0HDITgt7GeA9qZxndu+s/ZR1IC8LtxJ
hnshAWgsrfMVEbzJVlHCOum7AwsgYI8KZxjzp255MKaJhM7owTxZO0SOVONqP8IVkARGsE5Gub3m
hsQAaGTeJIBmdHKn5/N+mUaSfB3VxGkU7WbdHlfu52bkGA+2Cya9cO33mo0p1zs/GLEaYlqOCb7x
wYnD4aEvy5ckf29D58jyXAWO3dEcOpzmFq6xSEvcUrq2YeXiGusSW9TBAmSSZqBYf5Q2Lds1mnjh
yNcGP/oDcbi7qLAp0iBRUE+HwZx3c5qG+8QJLZqowj08u2oVNdZJDpkR+FrtHqQmuYoU3ldtbL1A
NNp28k0wCyPbY4J8Hk6HxXeyQK9qgY5Srv2RzraxqXdJgvLMHPGmNMOtNThbdasK2nb4uuT5Y+6Y
HwT5i4AehSfmVGco2A+Uaj1HRXtDEDpZzb23z0paJVu69jDy7xlEuivA0Jty7o/F4PJpTpensZcq
9vfay2SDAeLkp8kaws4zrKB+HVoTIXWdzHfeKnZT+xB3hODrwe740bJTBrmlXhDZeve58dFAGahd
tSBkl5jpmQXbVmrzDn/7qhiGF/Agd2ZebV2cbBaxubnWSfaJxTzDRYUmLEo6rEfa3KJtVn7PmEkO
I1yoTuFMEsUvoSB7XTngr4Wz9nSiUf5EAqJ3uycmn/Q6CfO1oEIclSjrVyCcjwbwwGAc5RexkJma
Kzh0Vut+Kcvo5DX68+LFV3Ra3lrIcTSgwJVp/O8Ar/aFT0pTuM1hHAo+gOGXPF3mTZia704KlJIT
6Bc+xk9uj6OWwCr+W3Hb+dZ3n76oTapNN1UIaanoDCT+yETUDksnyAVFfV7fGoiHc86c17/LMtaV
mJHeIRxjfQOeYNqWwn+bw/41y5ub0MCLHLp0DsNvCVeFbHzaQ5xT7XX2zWJ5O+gEcXkbjk16X5cG
TBwgEVEGk6WqztQdvhmlcRzAA+6L0Nc2fWZeA65Kg47jxVbmXgnTu38HhbRsBjfO1q1StLHX0p/R
4/Rg4IWk6yDYh3Z7XgwSlqYBFQlRNO7vWkzFmI6tg1jsawySp6rgt0yyZg1VjOzaotlrGUXrNC6G
FUP6f6/Mv16ZDe64f73ln97b8n83fPWaHxu+4SJ7CDx1wgUO8jlx/G3D13/BdQ/0FfSdII/105WZ
ieOnj8qAB8voUVmpfgwjbYaR3L51SjeEwUXxnxHz+Ml+EvYctnokXUNVf3BrJ1CmZpU/CXuuUUdc
FZb+2u0oU87IwZK8jc187Ta2v3NH77ULo2nb1A7OZRCftnYsOm+A0OQmZvqcmJCcLnFYDWDhwVbT
qTOk9HjWmjO4NzXulOmmnOrr2sqSL6BXiDbGVN0Rrlw65vxx+mLlDnPPElJmrYeMOCMkbFCXVBwm
a9Ne4m3/OeBpnLkdIM9rBTFbo3fz7rmISbBSmE2GE4qLNYgu6bZmSTfcsSjo0r6PFvQAjFWsFECk
o3bnW5G+TlxwMfNIq2NbTelOy2SzmRqOCGMmjM00N5xC6Mz+SgBpMPaZL8WysbpBRmtp+qw7+QBH
BqFJVY6Udq2BvaoXcTVItpt1bVbiPhGCShzivnBlSknxYh1n/X1m5YTJ2enzy2yK2Nw1Lv8sI4qW
l8n2Sb4RtE3bYI4r9wDjztI3/57Kf9ULGNX/zSOalFH3J88oL/rtGYW97NoOz6IhALcpVeCnZxTw
vi7wIlAMokT8H2dyQW8v/3GRBrz/1OL8eESVXsBT65pIpy466T/SC1xlrviv9q4eUc7pEDd9FC1q
RWz1CP/0iBqhpTrQXOc6XjSrfTD9GO7wqpSFsY6B+8K5SDszueq8zCLwJ+Zmp0/5ra5ZKx9wXAHw
au6TVe/qdBdIT3TNoahaiOruCENgcDoeqI72G/ovoSYxIlyy2wp6ZQ3Fkrz5yzyZXNEt61qKslnb
JchL7tCkQJr4rXJjEZgKjIkgHFOoSXsWzExMipzUzEyuJ3iasRE+MeKGsElVPRGN/JO8meUVEE6F
4xwdNrpqHfNVxaoaZF9e2ZoUewnVILGTEBxAPm30nuxOWI71G+ekl2ikfrcXRchJutx2M967qkj3
TartE1jQwdyWb7rVpoz5CQSCenpIIu2beVWX8qqyYSJYLn+enOq8MA+/GI13W1T6xpdUgiy3Ri8e
prF7pI5jY4N586/+fRB/fRD/drx8fs3e/+Q55DU/nkPT/MXC8Yu049E4xT33p+fQ+oXnkgeK6Bg3
058tB1yOufjqLpM3AOmfz+iPB9H7RaDbsbG5hirk+WdFPPT6/PFJVGsAT6OHk58x+B+jAojtrMpN
6VyyMWdUFxVNeD/PWdnsCaBmu0l16UnVqtfg2SPnnx/sFjOoo7r3shD/aqH6+CaiOySFc0/fzoNM
A1tN7SzGd56a401qokfFyFFTM77PC9ac61tRAOfAILb1F49j74gZTUKmDT/HhYLBYQkLmZnoVvuE
IytMMoEttGrAyblCKHcKpjwBJ8uhKy+YGCczumsUdllXAObOxHFZwmTuF+Pa7/x3QLVQ1r3L0ngH
Ru33sE53GkxnTcGdy5ARG7TnVmGfoZhTJR2tPHjQhek8RAmAaAb+MVKgVSNqRc/MzQ+WV29SPXyG
qfg6KMy0HBvSvT3oaei1AJ1JHKPMEq7myhK4kKobhazOWvNEBPi6Ya4P7ye6aqBbt1CuGQx/ED1z
AClWq6WamKyF9ZFeBXdVVP3egZVNtQopPeDZPqXAm8zETl0D1rZceVwgbXttfCsVejvu08OgYNyN
wnL7kmVQgbprhexOYXcjJD5nnFCQy6qVY7XLNpI5EbM6/tYp9LdUEPDSkDtoP8dc4cFpI74uFTB8
UujwpG2/1mFsb6z2Y1BwcaEw47gNcHA4tEu7xoemUOT46i+NgpMvClM+wiv3FLhcg2AOoec2JxpG
CJvYMJ2EaQ/s3IlKrvUKgC7L5ehBRHcRGTepgqTjX3y2oaYD/H2Z9eW2waY4tsbzVMOAbOGsk36E
tzplkDO69Lpw5T4j8A0xUeHZ4bQz24UfaTgYGupom8Jyl3GL/And3YXyLjlWMulsFa8lEd3biKHr
jIzM8L4Y6AnsMe/n68mRtFFjuNhznZoZgzrJgKm0aCXyiOeSxqINhHfKdLHkNvS9A/DnL76UzCuS
kMhL2dNyqEFCDMIMhj/bSLyXo35ZeBhupZe6u0zzgG0wPA7Yqo6WlVoMt/3AanjNktTahXEFNSOz
Xm0sPm3MphsrCzJD6hvSjPMBfzIzHYbFR8+bF868zrSB2dgzGQdrq4/jdgLs6OnRBRYn9krTuLIG
WrqpSLyVnUvtUp5eN6Km/dx4RI2X962hZc+lQXTNbABxWFg/jLClSJOEeNAKKwOPFwWjDR9oLmmy
tNDWA4/8xq4wIfe7JQE+YxrG68K2SddVgK40eZWZzGJ8nNU0oRIdZSaGYb97aweuy1bNzdpqD6Wg
Wtt2vKNGLdnRiJhEVaodGnph+2Jypg+ASk9UzozMN9RGWcYuaMuirbdanUNFRin51hjmU1oUIR3X
/LtTO3m7ciGjmGW5s6sK7u6dluqcl5uKehP1/oZcnBc7PDV+vMun6TrhiVpNJHtTv72NJ35rpvNb
I6pOhrR2SUH1Q+WDvEuXFmXa91Zz7GLU8gbeIVp2wFFuoXHLbVEWt7GT2NC64NzCBj550RAx79F3
iZM962O7G7TunjnFSD6s5fZOJLA0sqtuaCN6r9D9oInuwrrei6H7iKyQmRebxxqGDw8sjmjzypuL
L0WX5mc/HpnuJB1uI2gyReVQQQ0iCifBI0cfoq/1aQi997kyKUavimOfTWjQxrxzQdv+e0L4PCGo
LfWvj+r3r+X/nYek+7/LG3fFP9Gi1ct/HBbA1tmuyejbNzEnf/p1fju0G5wj8NawR2OwwSL431O7
uljzGtyl7OIcCDjq/zgs2L94WIaYwHMD+ATh/ZNROl/n94d2dUd30MhNvh7XdI4yPx/aW1O5PYQb
EaOIgs48JXb8q8jyl55s+w+9gB67Abo5X4jcPl5Mfqnff48CGJVf53K+jjL3UMYDOGHTTNutW8yY
ImcxsZJw/VwUFE1oNXdSo/ecexNeY7X2el9cua3rd4cyCpuroaWkjMGgutzC2tXnjf156dVrg3kU
A69NVU96vc/iotjAhNd3s7oqtxWFIBMDkB1ngWbTqSu1JWrkw1HcpOqqrdRBisS4fic05ZrKIJ9q
u/Lzhl62S/xBrn+EvJuEjKW9jhGwn0vbRNzN+aeNUdsFZA670K17mGzQpOtmbm77mZ8iaZbtwg6F
vho/WbVxiqkdCfQcxEvmE4Mdm90IxHgahBG4vXY9xONXJ7O+kHi+b7PlHJXjV+EgznmCpSxLbNCh
9iaym3McpwcjirIDI79kHc3iRJsWS3QBESyqmBjPeqCHSbBU8tg6YITB7K/y3BXMdptLm4h075fx
eZj1N1o55CmuicHbHNagxxrvcV7la0nBoqwEvd0+k2SY0sW2n2dnRzfpcqJs6zSG2m6mWKvXkmhH
D0e7TiwOHUuNlJ1cFZNjbUIgYHDg692ytAca3e5ip8l3aUmFTaRlh5YytyACm1Z2M/nSuLgHZXGK
LQI8mtTFNzlm3Uq2JKoZUG3nmo8qifENQZkogBqyLsbwMNfN1WRz9zJSHJwZAG9EbxTmKHXuHRth
1pppQetKho1l6JvrIgRPpcv+qhGjhqW0PYzZLHdVrr9D1PluwPzatbkoTpZfqOAKrtbbGtIySSkF
QjaYM3Oa145+lhq7ztO/ZVpMRZF23RvuQx9ruzzmHusx2Q0zgDqWcWaefzuWDE/xSqRtuOkMjTg+
1eDk+Ol66M11Y/GHd0p33+njo6GGz7UTrdm/X3B1XFU6YPuEjL2T6zcLX3Q0yiswEuxoxm6otVez
o09dmw+VvZwtECq++3UOXypvObrQI7ZOGm1a13loUMFicD0jU3CSR/0JIu7ZMeVNFBIBtMjycISB
cxqZnIGFv24n4wzei2Yc+0JjrKSWZxUv7N/O0mzdWPvizd2DDUd2jjJogjHxn5FtnqMQAZoxOYHq
P3CLwtAwGl9rLf7iecWDVlfBUk5bN6o/THc+Nr52nDn+cf4XiMj+LifMAVuvA6BhMFAb7P7OntIj
v9/JITtvDRo9gFaeUGDXkgSyao6G9pztZ60wn3HcuU8dNJ8WWIMMHzAAZ3czLsFgngFCEnlvkV76
eN1oWUbVJreCGGhO0Jiavp54LM4jhMNripY0aqbbMYQ0Wwv1hDGaBOzk9yNmhdB7g6gXUWIgvmqd
KTZjJ67DGIYP9g6KSm2fqqSYM9woCfRgUYP9Zzp3va5DfGimhnpHQM6GkWJQgXRYZxMcAYzgY92h
Zfj2kxD3Ke/8Go7hsnZVHtKzcnEV1jF/7IWDHFVxb3aU4oQAGckj5/MeOV90Sin4O8psF8nonBYw
DGUW3mZ99TbM/ioNUeZSBNJQ0+9RP54tq37phoxsXrof0/7DbacL0850GxG9CxBznrmmbWPhvlRS
wzzQgcQ0yJWGdAcFfVd6QerKcxfSmwHKI83dTdqY38lhzLu6cdZpOT7D0dw5dk8zXzK8dL29rVve
5mxiZuI+4kz/6gzlo2MQzvfn9H7O5bn0p33fYGXXpvQxiuUhmXhE5/lqDAsM0mHJ+inu+n65OJ14
nmPnugIz7tnj47RQYzVVwJeWcTvaIBpnkCm8G5sSeAhuxC7wU7GzU5JyMzE6zvfJIermeBNbJRcW
R9wbC+9alxvce0r3CwLjsbcoTcH2CPIkPjVhBQIG6Tmh63FfpdGjIxtuhXq7dwprw3IDy2S+skp+
e/o9zh7dDW0WHemJfPbrcR0u1ar2MjB/iG2wXRhrFaRECeR62tqhSGTIF/pWhvBV77Mjf+t1snAn
8U0fCqe87YjQ4v/ujqmu7VtHvIQ6VlWZB7S03oe2u/Y8Z2HYxLWnSOIb3Z4/Qn1yArmUL7SZcNpf
kivws7smbL7Q9bFwe6n2Y4SvyfMLeSbxRKmTCYUqeRHcoHWizNjLq35bFrrBsdOebkhHcRVoIwvQ
VPtENCzaarp3oWMJHHrZNKpAnqb1eC62jhDfkhxFudEj7WmqBZ8XrGQbulvDwAJ5+J25n7s2LQbl
60maVxTOhh8/nc9ufp1C/gyjYFjz0zFHHUF8uEWm4BTCMZ0hy++PIEbmgJMpQ+06TR+Q5zP/zXZ2
/3/fQp20fhp/Sj7FIhv4FnoDTte9DPWF9Offf4/f+wZ//BoUG3E2pOPc+sOvYZqDLCY/iS5MTlkc
L0t/nucvmrb++2/z+0nur98G+yOkBcIk+Cz+4K6IqlRabjZGlwFrbQN7vzN5DpuHwb6ZRgOlvIXu
+C+Y6z/CHG/iX18lzq9d9/5n0hyv+ukG4SufiwXIhFu7Oj//fINQ/zO+GsJFP0tz0BSYTqoSLB3e
AmljTvY/bhD+L7yngq/IzBFxAHPPPzDjGKp3/KeHi8E/H0aT6jnlFtJtyt1+/8kfB39mOxfTRTJG
dzfxGLIjUYYhsYMn2DbM8NQvGUuFTMcx+2oMBrssimLSH+ol0YN5FEt27kilLpt0Nnsqs6e6rHCi
ljwE37ggEMzPa2rsqKJrmZbg6d/Pwoj8D18vjP5edh0YARYRO1yHclkwjtbVpEwimlK/GhGZC+jp
bAIqvFSGTVBviGZjU5hRu2xs1yioJvY+neUZRyk9g8PbjpHtPOQGpOktdNkDCiKHmlLY/b6mzno/
W3JIPybLm7dRij9/E0UpuUbgafo+pubkiMcnf0vCUqx9UEdaIGs5brS8FaSuEkZ9MZ4TveAUg67g
vI0OEYFlKYgb61KLmfNAXnRk/CEmDfhX6X0wNLWxxkbFxq35/0D4gBQbB1j4bjWd4gj6tqfmM1FS
mAFhLhhCrYa64LoZA58+o3SKRFDQUmaMmsLGashE3+NbZKQJefDV8JTxfqmiY91q+Y0t8zgAkunv
vLp8z9zF2Vm5FWGNHe1dV/XJRu8gUtG4TQeXM+Q3mQ4CoPHpaqpHMyiaZtp4GhTqyLPeY9D8e+QT
PhYj9quCq8uGGxlOFaG91RlcdLHkw4pBnbeL2/bDncJwV5tMW92CGTJHMri6OV7HXVUV3REGe7o2
tTi94memrp0OzWM2jatkSOlmAYUVOO4kb30/dHaTXxWbTkG3qTujvqW1vWAaQloPlpYf07Oe8jLj
XtNQDN22ts6phkYd+ucB+dZ0QwyEmHe0qTW3UAeIbkVTf+smDDcXaTQQMyREACIBVK3r/rzpxooS
JnCJm9lwB0o6gPOGc5ntjZz6BBTeYv+5WvwbDVU4qb9eNq9e26Su/qzgVr3up4XTUnoLKyO6KXGm
nxZO/RcCuxaZI7WiupwXfuilLk1/CKy/xahY7X6smy5LKskAnzipzfaI8/EfrJufbsjfr5vstIRM
yYdaNNwi6P5+3UxbLTPdxYwvhc5QEnt877zMhh57NGdgNrqpKNk+LkMjXkRsT+3e10om8dOsgfNa
3O6rH9vVve8nzrJKrWGi/KJ0+8fOoph2UGVrGxGnzIET7etscoKbo8Ve5aaZrcxZ3HiEXwZQ08NI
ZjmXr1O0vALHtYNkvhOdV1BdpO/MvEgupmTmaWRiM4/gYrT2iJ+BuGenrjMttTZgwF+zpqWHgBEs
ZuFIVYSUGLYXL8f57qlyj1kVPHmBM/gHO2rbYJxgZxTizh6duwIO3jqz3O8ynK8XzpS42YzXpmzu
a8t8iT0OrFXYYnEq04GKqIVixMQvVtVYJSthO3epcM908z6ZBWlTUeZnqBinIc64zoUmHVOdS7is
jZjgT7W3qpfsDqMciYSlvrLaUV1Doaa1SkhpYcrQ16Vm7zkyR2/NMY7LKD+XrCGLWz8xdBpXnQG1
cNDb96VrJZPuOccXPexz4IE6wQWDgvbadVM60P0VI4qZ3KtJja66Y6b8DbBw4HfG17hPSv6bPc4D
5ubqaxln32nivvVsHN51/s3I4i+iAtva96l9ptvvgEZwm9R0SY2OG9OVq4Ym5JgipRFXuX0XC/HF
bgmeRo77XVTlaZHWXS09yoZ1KulKLKBBPVYpZXvzqUyMVa9PiDRVucsTDQO5PdAph00R0eBrKrp8
LcSUgOxNNqIG/+0IKFsTCYpY97Z2447Xg2rucmXnYeGzDz22tK9e4cwYwobbZWR071jxdQkAhBYa
iudSOTy0Mn0Lxwk+ZAz21rH1LZ23j8L0ntwwWpmt8Ur7csJ4hx9DH+80SawrXC55RgdjYm798IYP
a0XOeDjnfnazSPGSCL/YlpA1tu0MSd/GnIbVRZ56wcfOcNJzZTJGRDrgOOA9akwsAtBFycpI53Cl
tYq8kl07dXGhKvEE0Olm7DyaOZSAFbn2VrOaF5sjduyYzBEYPYnKPdajuMhksjgQDCfND7dcnmiX
D7svKD1vdNNdEV18N8PiS9e7B4PhXjrCKdTpX1v1ud/Rr8b7wHbwPTcmHrGFvdCbcwb+pbjwyxOC
meKnhnhCYOjFxQyNm4bEYeNnb5pGBy9Q0QDrHRKWVdwovgKt7vHJLfryES51G+QSfrCml/lJg4lB
KgbCS4hevXKL4pXNNdv0Mr81uvApp3pvxXCaw5Jv731vOedlfzUYGekR+3kSxWtvGXRf8U0n8zat
k3Ue+oeYMh94xzsbIKFVE/MGT3U1OMKmbAp/oMzKtW2qkCXZHOnER3/orVNitOVtB9OHkMJoAINc
SqrYTAuUKS7QvZF6j0NR5uznBZdLqjC6bZPr/Y5CCaaHZYVtabbNm1na5AkS4zrmwVrxnjugJEA7
OCOeMNG78+PSkGBqDSM/pdzydz1/gs2Ua/neQJ8KSOG7FuPGMNKDUfQxg0uLY5gZ860lifetlobZ
v0mDX283SjD4m236vfxefUv+rK1XvfDHPo2fAnMfvZOmDcoBReKnfdr+BY4krhzAv2QRfK6i/9mo
bZVQUJ0/PpcAEywx144fGzXpaee/FLl/sEmjUfzucgPmRXcsE7kF+5Tjw3n5w5XbZTbocU/QLoZG
JXnPqqnby3s4xaCvHUp2B0vfOka6bWVU5Azc6/bOpyX31nRV9Tr+gNK9iyJQ1yj80loPndE+hl7i
ym+Oxrop6N9gtoI4mTZKsDS9ZRd1DFHoGbF3xAgx2ilhkxHJvBlrzd+2qJ7oC/q3qEEIbcy53lZK
HJ0GZFqGOCwdFf+upUTUITPbl/pTWFUS6wIe5TiV7jFNAa1N3GqcmMtChzI7mHTqziZPhBJtcyXf
5ui4HnquVMJu4TobFojx2lOib9EyS/aVENxKXAhSicMttm78CBEBKhBNHht1YCoxebGmtdnP3U1K
2Z5qcMif2fzkvWE8Jjac3U7LrkkmxWuBTk3UhwQWyjWZM3zuLI3URXzrEnrnPIi4dk/XqqeEb1dJ
4DDjkmP5KYsrgTyT6DDdp2rOgHdiQUVKZ8SqZtHI6+DbqJhAcac81lr19Kc1SozPxmq+XZRAX3Z2
djuj2VdKvPeVjM+IlBdly5Js2QKwk6wsKmpoREP7b5ULYPk0BMyz7a27T5tAGmMQC7CRhfdUL9e7
kUJhkoi+Wx7KdhxZzBDwQ6F5V4k9keLu/RDMLC8urwwmfrfGED/nMaPJuBSvUVs4wQSYYgPL8Dkz
+ojWlvqDY0ax6rXonIcxyLpUXnI9q6DhFR/x4iAjRP2FMT3+eVI0K7v1MqJnGSOcURzasXGPpkN7
yZjK+zhF8yY5trORy3Z+662M2aEiyJbKApsMmOucoDcHJKR2nEz7anRq7ch0CNsG18Eb55Nq2OpS
5Q5nx1qZHSlwIpr9GT8aehoftAt3IrFtG6c5CZtFXKuqXYXFFq7XMuygDLzko7vu9Zn2Fuwlx2mm
7y8fI2Pr2KFH+XSx1Qr/OwX1Z5EWt9UwPISaddXVrjkEplZf09YsD6byskbVstccZmNF7+RfdPqM
Np733qMZJLmLtumeZVz5GzeNd80sN4IiPH7niyfLs0N8bhm1EzDXcxFTJpkMTnhVenW3Lqi53w5x
dB/LOQLGmB/adNxnDW+SF3MWUARtLXXDwMy814jSq6AXyWUeK+B2JZux1o8FpA6KM0V+IJiz8dr2
tSDYMVUEFivvQ9DBMPTFllP9FoDXSh878Kmmfld30zqmCsWFfOBPBOcMchdx78TcAvIHL9cvHNoe
gNt5fEj9SlxCBknH0Fs+6sa4A1l+cCF6WSihDOMtGAOIJ1q2YgzzGgtrJ9pxQ04Gwprj3XRZeedV
5nc/4xkucuu99+WdrVFcSNfNlUTC1DJ7VfMeF+mAB8gglAuhe6QtNMjD4hs34S/kUJHFsvTQDvHN
Us2XgrQhZqhDOFd7t6hWLKQcLBz9lgZbivvkylzkoQyHNQFKCMfajsPinuD2Cvz/XnTzVnP0mZUo
+SY8VUhe7zVsOVlM5LCuLmWte7QyVDugE2mQDtGN2eMSGaP9rHvrotLOpDhILCSvzWCigcyrhkeE
GdsqbI01LHuimfl7m79X4XBHCSOfSJ06YFCEEyXXjbvuqDUAyUtDYosqSj8hAKuuF1uuLWsnmu/s
2VchD3NNLSN+jEnfFXa78kPSuwDumELoWybqH7JJrlnhthIuX0clsfDwL0VdfLAMBklL+6QbPUcs
716I+smLCQzRrjQU30tZvzc6ADPmMIFrJVvoN9supNc2sjcUwgP5i28twDbVaN1x2PwwNHq5WyRf
2D61ru81f9x7nbbV4/w+pbewJwLF1SZwYb4Fwqk3oQZEQR+2PIrXne9tDas7WiES8dxsUJFmrj/d
umpQW7jAfqMo/okvZVMfbq1lZ9crniTIOfG0Avfx2pXdqvS0E0idw6K5m4pkUTC2GWA0Ngl0sYZa
SonoKNyd2VPBOJQvPd46SeLJdaHdxXjcqr7dlyRv9bngaub4OzAaALT1x6pN7yrN2IX2zGmT8Lnh
b6Ky37u9w6fTxZ473uLGP9Ugz0dtuM8Td+/N4SW0lkNpF0di7FdxRedbOUDey2kJDnUKZSdokd5t
Sjsb9qfnWiB4k4lfmb73ELbkc9ruUnbOHU4xPQC7cT/AKx/rqgTDzr3t/7F3HttxI2uXfZeeoxa8
GfQkkZaZyUx6M8GiJApAwAS8e/reYLWqSF5d6a9/XMNrJAhImIjznbOPlR5SKwQCUaqLPg2P1fyi
muTjmDR7vbKoEAaZ2fTsz3u/7mdVN98HRX5XFeOFpsu9otOZSYtqQDtYDAMe6cif9OaiUukg74kX
4qRUFPGN6pM70WTOTofJuCBg80RRKjs2hpcSx2CsfbMzWONN+ZhU0Y7hzIn3LRJdlWy0vt5bE91y
GrW4/qRqT5FVF2vPSG6zqoGGMtDPYmhnkbiC3WxBpIGuFxTnbZDYfq8r2SpmXtXVle+EPU16o75M
UrGyovw8hPZGBMPFkI/fCqVYKfSWNuBdZhs1TwDZedE5K3KUzEGV3Keym8l862cpHwnMnttOcb91
HSG1WN1AmlmDo1zlEoZtVgsYB8O0HrJ8PzbhvmqsWwnUHUdg4ec1+7M4oQWwVy7oauNeT3lO8axp
cpcqzXFCIqmr4mvrVqtQ0G4SpAwOTRprM5XP37sl7e9nS28rRMQd8rAGARi0x48yTtNXFeaLXDmp
2TamDk8m1wpz018fZB65/G2u/3MZamBP0VQybi6lax8PEiuZaoP4V06D+6XqN337NEh8YlgffufX
+dmC9/2RPg1/ZCBHDcqEctLBEptslxwio9NO2veifY6pQfj1iX2azP159XiaLFNnM0i85+OJ6a4k
jZ7K8Nwpz027L2mgTL/++hA/OyNWyyyWOYxBOOHjIQIbT6VH99wZdq7oN+04rlKKFbNwE8PF0Zvf
QCh/ckZwR9i04JtC1fs8a+xoctdHtYnPBD4WsYGEPJuLfnNOH31bb/fDh4N8mjbWgdJYdsBBBGpa
Ux2EF/1mCPi705j/93fzTHKxSCC4Ws9VcbSBFyTyNnDi3xzk06Rx/vU/nMann6ZISIx0WR2fB8VY
RJbvxXTgMZ93nmgxtOuT3ta/OeLPTgsbN0ZdLPIWM7WPp5XEbhbnQovPTnnFQNovIF3/w2nz21kx
ebNNm5kz8vKnSxdYhmK7XSXORHtXGfXD2Ar69O7Xd/XPLh0EQw/1WIMi4306iOwjx4ljRsxV8ZTb
h4idouBl4FFt2O5NJhd9cPXrI8731Kd3EK+4v4/46ceKoOJVhTaKszpACakfSDn85mWgffx15mmk
pTnMK3UE8bnm59PLB7wEY7FBy87iUO2gSfvtESf7yrqKri0f0vYacu7612f18ZB/Pknvz+rTIWGX
ZQOTHnHubJpL0B51Mm663P76KD+/dgj9Kl9Oy55hRe+fJnvSbKfJVHEOSs/Xtf0MZPn1Eear//nX
MbX5bsPs4Difb+yCbJU2Yng+Y98hP6Wz2nyOTVpkhPjNufzsir0/kvHxXNgRywpJU5w16zVyr6zg
ppx+83r7+SEIslHExJPkfLrVYi3pXJPC23OenyxwRwPWQ721f/NR/dkjxM3211E+/fRJ1eH6wj15
jpOvqbINDGVVmWsraf2kOSu0/Fq/+Y3+47SYkDsOU/LZuqtRYfXxysEWc4rMkem56TZl9dzbq3K6
/vVt8B832qdDoKW9v9FyIOu0vJfpuZ8oklJIgwrrN5ft54cwXJ4aFjzobB8PIYYBRyQ7rXOdflWm
HUOC3xzgP25lzgGIocVzgvCmf2754NXp9Fo+ZWfWeVlrMTfZxVjNcu/17Vr9Ozw1udP/uyp7gxL4
WiG/8vVuxt23//t//tRy5z/1lyRLGQfcj9kvRVnHW1jtnecExrY2F2niBEOb/UuSNTwwaTyyuNIR
caFJ88O+k2RZeqkzNwald3aq/ANZFt4M99jfbzs8J3TN8Wm12KzjPwEF8/Ee7PRcb0rFG0985eu1
qqT5qoZ5S17GoNmJEm4xWJBBLEXxrSAvCLNRTJ5ZG8tNukU9793iSLUOQz6U9ALolN8CfqASDv77
aBDP1hqPLmBUvoFh4ZVOQGmB9UPZZ2NobWohH71JEz7qxNe8xDRANP0qi3EFBj2WaaWYaUoh/iw3
Ja0mO9omCzZfsaQjgH4H6injkGhspl8lhpLuOjhSDI8s9muRtQXmD9zRCOqdlrSYKz07t/y4SK4J
IL32SXkjAZ4U2VykiX1iJwZluAgRIAjFeMVJbe1n2I3XXsnfEhAxIUnQM4yhY33I02XQe0fV5NIY
OvCysLtSk+k+a4s7T5T7OKqfyeNuRJHxj50onqBB/GCCVaTp1DpOhfsNMFlC9Qgilat3+9GZ8VZp
X/oK+tUisoe1pwdfk8iggcuV6wDynKOUx1wvHkVMV5wzF97FUVatCFx9mWL9UiN0terd4jqG6OJD
GiuRogx0543S5uw+Io6He5HpMl0HdGeuqkJucAyvsRpudJXOBM1ba9X0OrluvLKcjoShxVa1YtRa
1+gOeVsXvpkJaGVuX2w9yHkLlMwHWuaPLRL9kmKlVTfo1rIeXwMHIJZezDyh8GUcYQA5oVw6CUb1
xpzkWlObFNOJfg6q0Qb3Te6mEMVVVE0vblkHCw1V1sc2b/uQ9XGa23TX6829EPKqVTN1gcCDLp2K
NdZpK32jYTKG1+yroQ8fiA14OHzqfci+fNkpGfq7ze3q1lYAISOEEjhO6tZJ83iFDcZkjktAKS49
QnsCOhxU4LK290HvVsuxrIdlY8UvZAvxYXbyxRmMyq8HJV7WSjBtaf82l32TJCvcRGyG9BbZSJsK
GpxDkwRneOMEDvcUKNctAvGxmYFw7YyGCwYgcfGMi8MlQStaf0X8+imfgXL5jJbDj3vIbH1rz2uc
DvocGlK9TBXd8p2IGegsFdsF8iH8z4h86XCSg7KrEH4WI2S7VrQPIqO2HOKdMFsiaSGsPUu7rPQw
WzALuWR8rK6Ei2IYzOg8D4aeAUtPmFSowCjZGlD2euFdDnp+E8/4PWocnlIQQswaQPO5M6SvCBk/
NwG1FbK80meSH209r2Jm+416gAzZO74+c/9qExXDAwUoZyagQVp2pRTJQw4uUKsinJ4ABCtVPDMI
RmKZ2YLFTBmk++DIWPYek8ceiO4FMiBlVYOFJ6O4CGZSYQuysJvZhQKIYQPM0BHyICsa6nsHVSoK
nccGKQiHFQzEbqYh1m9cRI0br6w986QnErtwibbz7d/P4luqa4Z9/vfP4vG1+vrKpfr8WZz/1F+f
RYaOYFAsvopvwBP+p3efRd3EaASTzGEx/25SaYBW4bsIDoWPIpVT7ykp9h/gOQ0HF5CBtWBGOvyT
z+KbWvLhszgD2RBS8IMipZiftShD0RkRlEly0lSzqS68JqasPu4yU3lwZeL07EYxufhtKUpwxcmy
1bPdVGXbYbdTA7HJ87fmHSZk7j3DjmJRxN0t/RfVXh1SGT0GFB4wYifMO6Ln+FkdnADPi6WF9XFb
6Fbqx9AYZDKeBiXt2MbrLwHrOx/r375QgVLZtEuCOr0fFNC7FuOX1h3uJ7X/ZhfONZV2/AXQibfh
YK271pVbs/auQA9972Slr3iHM1qB+L8qeHHRUZqdgSPjWSHGMxdhnlwZXFG/mi/skRczCLaA4am7
7Wycm1lCtTFhB5NGbgYvYCQ7QYRTyrJbsccW28LI0pXHZwNvRmCvsjJ6bJOyWeZWQZACyP5ims0B
xmwT4LuBY6CfzQN41VGGyzdPAQT2kUgBRgNYYBQczuYDyKnpnjB+eO3M1gR7NinI2a4ADMI6xbOF
IdQwM9DmfFHO9oZoNjrks+XBLp1mQyNQvY7eHBHgGQmC4pIIZrsEPeXAMSJcKuNspmjefBVitljQ
oW3s3aJCEM14OYb8G/IyvjAdxdZ2XsLAda0DmqIUJ9G+aISOli1FlU4pxDGCqEV4VCwb8k0R0eC5
pWWtWtmVSUSWRstRkpmvktdUtg9lnRykqobLzOk3KZ8SHxbQsfKUY61QnhVl8dIq0ushyi8KvXrS
leQg+pj4jJ7dAk/tV03kfjWL8qyHzmWeDW1DCsdJzpYYY31FxN4g02NFYjpicCbvAV48KeBpGCZ5
r2SMdm0WYGsLEOMHW3dX2RR+nQZ2I4EqiU55DA7lbPuxiLgxBbW+MpCtZs9R4uMyJlkUDatW46ua
jXfh0AxLkB4W46NOsMJhog204JKahAxqmCW3YBQohQW1McT8P8mTLyImEA66Iqwz2P+p5SW+O5kd
fU1xt1QH9dKxiCMmlUWtQJHUFyqrFZuqSJ/hpL6K01rBAKw/2wM5k2CUN/2MK/FGsP5w+pxFiUHY
i13AASoc69pxXrMg/JZKXHU8XX4jRjBb7PdbK2fD3zEjVlvHb+sxW0mNYSg6vrd2ufVVzaR/SK0a
OAxWg8KhMCftF7FwZHKR1428/ff78ef3g53wL74f8qc+F/7Mj68HjC2ke154bFsQgkBi/fX1ICVs
s9Fi6a1hzH/z2P8wpGJmYZuFj/XvmoAfm6q5C4DtMcEW/P1v+61/8PWAUPJ5U0USGNlNI/NhOyik
n4SdekLaaa3WvgyNfKKj3lYLpppuVJowHaGYTzCJW71bKHChUpK5gSMxamR1u2pj8TaYVlkdt7Ga
MYYMOUbo17jZTcaMNIgxrmtydlrG1Fsp7+CGge1D32ZKsZzUkKK/ReIoXrGrzQo2oNdZ9nDVCoeO
sEiR4dqxqMZqh/xBVxk/4wfaNrOltK47ONhz23IVE6xvQ6VeB616K3L9WOV2ykpZEApQr/ORh18j
vYmbtNgXMtvnZXDQ+uF+rInS4aIPsIZlm7bYYUFkKhny6BCQjf3EIWeawtVdxC4TqDaYgCIM00Pm
eGdN5Y0JpnqhtGw+CzAJC1TNYtln7kXFVEyf3ytx2z02uCPAM6e0oqikwuR4rmU+rnu7s327hYkN
jq/xDWcalknDFFKFlLEaiQaQ5tVXqtWOS9Fqpd+73TfFHFh3x6Hf4nPxs0D7Ngx0v8FIWgu1hCzJ
nJleEgCJeuGzv7pvrRHiWdkfiPmx6ox5WbCwvyEdvS6dVl8HCZhAJSPSR1/BDg2WzJwpL4Uur/Hx
wxIs9rE9+RFFUYsOc6TmgLZv0y/myHamirplY+AcShOYSabid0V4YQbkngvXJmw7EThrBoGnViZr
d3QULJW07QFjXSdpJQ7sUDZkmB9aDL5MGbx4Y4xGvFTs8Dw4VYyhs/G1srnoWuK8pVo9hBLTypRY
+3HUbppwWFEm0C0ETdhJLq4JSx9iy1gmTtyy35riVWCRjStMJSCEF0S+OnhnXugOCU7jVaZavdWw
mlNlKC8tjZKXiIRzbiR3yLj3mSgXsihPSkRlO+5cko8p/dDzDk6k2X0PZXnOSbSq8aQWLTtFvvhd
n94MiUVcfQ6CzY6IyGW0Mdai40bXo31R4D4wPLZyUd8/5I4+x+2ahyHo7zWzBsvOt5dgyiaPvJOo
LV8RGHKs5svgMIevqeqicTOhMCeBa+lq2dJo2ptATEwehQYdewxJM5rhtmzK69aenvBzPNOdANsz
huIDqbMEvEJbuKm2d12M20FLzHgp7YhwrbxQHe8lx4VN+3up+7rUbpiirGG03ha1ulEMee5hWSPI
Gjckx6gGjtRsYdAaFkbmMXYKxQehtx7iFHcXCHloMy9ZOA1buDTbtqvMhRK5np9DgMeXAtazaXIY
6diq6Vyn/X2Y3L2nju6SNrFNqE7VXLqxznqHm1RPIVB7/INtpaeQYzxpmol7A/iOrMpLPNd3OBWi
iyozqErVhtck9q7ZFDoLG9WB8fcwLupp/N53WKS7Ls2XUDZNH70eV3jdaJvU6Wc1A0JtgHmcelsH
+gqUbFnEI84RafkmQNQkHF7sqMlpUMrzFex4fK/lUVPM1wSPzVIOxHQqrGi+1Tik/tXvVW/uQxlv
x0mySwZDgDy7c4yk94tBI1xZdmt3ULol+jaGEt3chaR8FrRz4LrXxZGk+QVNE5uxEXuaBLAq0KyU
il3UlDdBVH5vBq9e5n11GGVwAp9wW7gRnKaRBSSpTHvv8V7k3cgiiejNypFtvxGJfMglle5O7/HM
oltYAUCSPiTjGnf9vVc3LAMlQaEux/8E4+ZpMBqDx3GgZgShgNiM9L1Bz9Yswx70/rWvKEGHDxWv
8tHcR3b2NIxcUc3Dh0GyfRV08v6NjWLUyj1ZstcobAikJg42BwOzRy2/err5PFXq907jZsAGfVtU
/GC9SRjVShvohGEOszhzzp1IVhBSNJYxvQJOpbvE03TNqWKBjE4TLJq1ZZYuHntFX0ypc3D4uC8j
V93R+4LRKnCHndnDlyiCx8jxYEOk8WvWs+cOzB7HOML53Gl4Rxh48pkdT5it3ppl/l0l/blKQov9
5SoJ8fl1/Mk+mz/3Y6Wkq39gCGb2wyxrXii9WynR7QHRjNmDbVPq/pZr/LFSsv/wkKWxCvH1nyM9
P5ZJ1h9wCT0ml3No503M/gfLJGhtn5dJHhNX+uRc9uwqu99PY6OsoAJo1Fz7MjNImIMDNZdSdZ4c
9gbSaR90sHzJdBUA6dNLbaUD7Wub8C6YKX44Jw2/wLZTAvgjFADsz+iTu2ym/2kzB3AECGg3OHmh
pu0KUIFqSJESnxZMxhUEsJknqKvaszITBrWZNWjM1EFec8F6isS2j0FYBWF1kfdYHIQRPWT4vugd
eJrwhqWFW/l9XL6MIrnyIuOlsrXHoRt1326GY9MJ6Y9Rgs++FPsWlOjCymT3MKrucwyMZZ9DGltp
PSgwtRB3tJQ+q6Mz7cwMgx8JPzy603Yq9eeuzi49epZH27nxqg0tDasSTAMQ8f6ujeInN1a2vSof
6koJLxy9WHq16Wd5R2WSukbugPEdX85plHKs2BrF0TdJ3oDVY7ko7f7Sm4MXMtZ3plzjmgaFjLFQ
vwnLY4V/skmeSj3i5VeIDRzxWTGYKeS43hqLDF4idJxdZrCQVl0jDXiA2Hsk70A52Jnst7KhMDmI
21UvBf5L+2CryBSmHbGuSVNaStJvFb6jZaPX7AArdVPZEw2jXXseXW+rCj5PatDlmyjHQRljMk5z
joc6X1shlDen+qJOIxqsysieVmaJY2qwAxDPrXPA23WiYPUyK8ylLYgxSop/+zCaYO8tHYuoY2Pi
x0xVqwOINYci8Fj69pzJThMIK6lDLSBEsAyaFAzyMfYw72bT2WucF3y7uxDmxbqtsT+qCBW4zq96
x659R8NrURqQ0kTpm6W4zjXWzBG/nFIYdxaJxpL65RVTWvdQKtoudeWxEHQtZ8N9VNdfipK6I60f
g+Vk23wuQetCa2FhkogGLkFDRzHFKm3MlnlCuJr1/6ugNg36n4ct+V25hiOQE6i0e3p3d4YeU8ru
YIvN5F4WxckE8JGQRrO0FGMo66miw9M9pgZ0jPw51UCMaP1RTuxMsI9fBHVzUIEY6llLsQVoBLdz
vwjarbwo3Ngmcw/brW/7Or4pWuUOR9NOzeVFW5mvFCbuEvhpBGee8zqFFEAdDiiGg2lUe6OVx7ZL
0HeT4SrNus0QxAeztZf51G8LT+60eXY8mlucnhehiSu2AgpfpP2+r9WzGpnpup0q1hzNY++wZqnN
iWUV7X0tJYbj5FxUnn5txcU+ibutmUAjGdOs3YlOP5lqdWSAhN+1wws/EhUK9Zta1g98EvcA2o9t
ZC6jcLzO1ZSwFw99kkZr5rIPEJc2Vii3mR27u9HKN3bXz6yxBjiFF8PXNhB2wh27zKtM6ciTqaUf
tYA2PPVRHcC4u2qaLj29ve4jCyBEx8LEQflnOPuIyrR1Wr7VFBZBNmZzhocdPsnz5HqbXkHe8Vim
xd1TXgHesdTvUx0ydkPamcgdxWyC2dpNSp5d0+eO5dSFg0OnicW7bzCMC8UEPlDZ6d4L2wOhrt3Q
tA2cPw/QfnQyu3QfhHQ+4H889gF8+tjLv3Rx4y6UKr2km3xTSu+yygExuf2wzkpVW8WWdh9r7WHQ
zAcjUS61QNxM809ITvRLAf1O1uHK0HsUe+VhULuToWmXKlCbyJ6bqcf+RVfYBsVFiP+5ZAXe8FtU
mrXO2zDelC4FLIZxHD22v01cbRMpNkle9Mva1u4xNV+UdbeA2ATaTbnqSD36unlLQ/oKjMgXsCk3
E+rMIbfKgiFJcF1k+VHJ1WARlOnKnKxnrbA3VMwtTIP8nGhsE+bdoG8TtrS6Hr4mrBAXWI1UxnIz
xIMls6YV1lqNjY1TQonjpijIfrK2t0N1W2ftY93HNyVb/bENb4Oq3uYKW9thLm2ieYZzvoUf+dCU
UbcbzHMyo3LUDv6/TTY6GwC6yFPfhLexOtVL1+62SkomY3J3VW1TrKltq9Dj0mgnpazyRYSnuWv1
G4C67kpFkVy61axCakARDftYp3zvV2hierpq+zK+t7K44eVvO3s9J36QMUpdRyWdOyX5itjteDrR
KAjSLOyKU0Kx27Jg3Dhh7p1JIbpkALp8NSlxudA7KC9w54cFZP4vXcjltHOx5gtDzILELzjsWVML
UX6bbRAxIhtSWEuy87oL5lNUTCjj97yqicuYgB/HPPENAZEfMY9xF70KHXQxdux2hRea+JsW1Y6y
yITNzDELD0jyxSkvteZRaA6BTmuqFITv3rqqe3CYqTshNvap6cagAUwNdXtKl5OmHEjoXFCqddbd
ZG0OYuXozGrL4DosK/r6YHI4Rs6UChwhXQyPQc9UCYvuqtIoAodmtWlNgn5G03zpqA7REvfJDIxj
1xMXIcaXtd26CUDvG/UtXvERvGf0wpv1XjWqLfmmk2oNr4Ew9tnEZfIi3MQxq/5agd48WXsnzo5B
nBqskDMIStiUCzzWLZ/oaiRzYFfBSSB0pIm8pjMqJsg/7aifP1hDvGVcS99Ascu8fmFJNVnGThJS
rWFceX1209BlDxBpXGZ5fpunfY40kezZdO5UVTkCx/ZZCm30odw1gQcXnY5Hp9yHRfNgm8Y+pbug
MvjSGu46cYuvbIxXIgmvhoCVwojlfQqiVcVu2Cqb1yzyDkpO9SA33UDhfeulXwH0QsKj6lCq8XWl
g6TTqVMx0beMzN5Gg3pTJ4DbmhxrwYgvf3RC2kz6ddARXA4EcAUMCY3QtlmrP+Ji8lOhDWsLIqvB
eIClRblgKFnydk8eKVND/bcgRTLe8BKMTm2Y7pRC3MMu2BjudFY7PcIzrd2OPbMHUTxIdEB2zjSO
KV38Lahk51MV3KKl00FjqZdBaIBRbewVjpmVGTiUtcU7L1a9dRgGeyphX4vRumwKADy835uDrXOz
hLK3UJZQuKiV0FbBaLsnqcmL3ERPSF0KbBv1KjWVQ9oMk6+ExrquQaIGVkRymmbMbTTaT1ZPoMjj
TYM9fIBL45LqYEo6wM0vFPsJ5F+wLuLyUcWpD/ihXSd1l+Ll5qxpvtl686unJHvSSS/ahhVzWyYv
xwIVPwkV+uv1ak8fabnUyYUsyypjpzhAnBhLsqb8pxGMt9aVN2E8FBuwEDs0AxBhTXuYqvmrbZmP
g8aDJtDwl9VARKMczUstiS/J//qmMKOdE031AewsAZDBeNBBIl70VXDl1ekTUS5zOz/utjGbLHO+
5tjHjCc3IhldmFfoiPHBM3IsCsUuLNRbPWRFIy2VLEmLkCGXKpS1MlQ3rWMC7LSy78y3QDYZkAYN
9xY410XMDj9BDuxSgJ213jyOWnntDSBc88K5FFoI/FasU8cc8TiI+zL1nszBuMZaLfeWIfJVG9py
rTfm05R5O2/mywk1RoOhD2WvlNpaajHZ9NzstiIlH1y/YQrDN2ThoAmdbUQFMXHl/sk1TAxbWel/
8g7f7fjOf84jf0Njsj1bdzS+8aQ3P/OF9FhVB13P45MocHXlx3oaFp558+uDfDKRzcgnDmJrpq0Z
ZEE+i9lJMFSGUtfxSR1ptz6qQFUU87bpb399GHai74xIb6wkCk0YtZpYmRG8PjkVA1X12AWoLNz1
7728U4zfpAt+8vej/GuqDlqHy/X5WtX0Okh6pNJT3nOjbd3g5R//+x28dlwhLtQcmuX83tm8qXlE
oLXK7OSy77DOlnf49d//yXz/58/w7vp82iybdqIh33N9zGyjUJRESt9ZYjgZXlOx/MeHcth2z95B
6ttpDPl4KlRdqRN9GslJFVuiHvg9CoRU0+czrBSLXx9r/mf/PWh/+9k//Cyf/GeqFmedY6fpqYDP
X7Oi83m0ZqhZt/71gX5y/T4c6NNJ5Y7wSEj8eSBU8Zwi4WjNd2T+FBe/udfmf/Tnk/LmiInL19HQ
9dkv++5eMKxcl3x481NtrIP0pRtWVvD116fzs9v53SE+324TRVAyZJp7yt0XETyZyv/idvZw1jom
wHQNn8bHUxBlajWmoucnwRsQATcdhf/rM/jJRWJCBo0L9Wfmo2EBeX+RciVnfW9r8jQ5L71z2c4T
n+Y3766f/ejcxIzLTegwlNh+PIYXZRRAuFN2IjxHjHeeuFhXHYWfjMqM39zJPzkWZbRYArW5+Af9
6eOxogBAMQj/nKJ51iSreM4Rr5wSTX2jX79dun/9tnM94n+XPE/VSx6+/kTw5E/9EDwZDaNk6wio
vI21N/fQD2MRXfA4cS3d0m2XG8LmqfwheBp/IGnaFqkm10WOpDfiL83T+AOXLT5cXLrGDDn6R35b
RE3ugr9fDXx2uN35+z0+ZzqBk9n0+/6uL21oYT3VLNg7tGhlTGkCub/1gr0ylOo+d2rQYoo6ts+m
iC7iYHxyQ23yC0d8NTC5sRC0egfmC7rJqjRUAaClhJElYgH0xY7kPSQhewQAptbhLG0VBKpjW1/0
hVG9mGkQv1L6HUDwz62ZjE6vQM4uIUf7WEfMnksKkGudAtXK7NZlRa3pBXNGb+EljHyC1qOiMS5s
cvu0M2EJqr4rbojHFsvkwooDNuU6DW6uxlZynuYpBgWzBNDZBoxwx6KKgCe72GKSe2SM4zT1V5ox
HaLOmyMDB1OmMJij3QAZ2rfsCiiApli+rLt2qddmdChMe6MWyllQuHZdBO6+KSKaBEM6IENWaYe8
lpWvK32yGm3IeRVoN2qt2tPQ1CclGdxFj5y0GNkZUtDWr3AG2h69cI3CcNcYq++J0dzEqXqj2lCL
WT02+Vkpk+lomEzOymIdFnb0KGNqEKEiB7BGiULCsTEk3Qp1KHy9YAujS5edS0tVo5HdKLbVrwuX
HZNTkm6uqmzDiI4qZoAXWGcwFk+OvdS1PDp1ISinuBDtwmD83AyKvLZhjXrAgpj9A7r12nxR6Bq6
pHKEq7rubA0/TFuYdzWF9EBsQAtQKrdWU5wptGz6AzIZXiuneLKClqYRTWH7ssjhSvn1iET+7lE8
/w/WonNnEaNcl+J6AO32p/WPUKNeTTyKJXQ1KtZ0C+kv0ch16mHY/P9o5b/vv3ml8N/ff+f05evP
8gbzn/rx/mPgA83FhAX7NtRRWeb8eP8x8GFFRyeNzSqbNxFvzR/vvzlvQOUVIyIseuwm+FM/Zj6z
a0ZjUT5/2HBj8tb8BzMfGLGf3n/kDfDiurQp48ibI3cf33+U2HRmYzr9qRk6dotN8iC78dqRXbdK
vfCUaaX4yiOWL+LRuGVWSnOpoQQ3bKm/K5G6ZixlMulU0D3ccgWXCXnKQYeKq+BLFUKBGFIHKlqb
X5teGm5U2t03fRcc3YwxdVQ4X1ojvrG76SFi7YHkw3xWL0x/kFG2TZziwihqCMLOPPj18vWU6jcc
C3u31uKYbiNmyyNGYxdhPqADrkm8O3YDyLhJ+E3U7hEg9pVqDqeI5hZJ1x7j8fFKj1R1bboG1gqz
Ow86EiiLRlzvOlx2ItxzSSXIytI3ypYXuokk0RfaVoNos6brhs551NhVi5NuZSTBxsbssZBGxkuz
MG8rD1gN7XytYaxanAULWFexT733jlyF6Td55CJGT/eW9w3O2bLSh2NdZxdO1zy26hT7hYCdQi0K
mLCRcl27a9HVhvG1U3Hcaw7ITgUKixrdhxovec9V0JcRXRAKAGROW6E7kGWcS4cSpFBW91KxvjDw
2uOIQ1GaljaEkxIgfRskV/rIcCK07GuXKxTE0CEVWa37NL2sTO/ajtUvyUAPORljOjqx0DPk6e8y
3XwSbKl4t/bY73OI161GsHVw9nCubpUU5c6e1Pu4o86+z8V+MoK7YqgumUng/8dmX6fpq6lEz0On
3BYGonU0XNOFsCbz8Qj8/Cs+FOpgrJEiogJ62DTLqnpdfnfG8UZtIZ1SjHjkZzr0wkEuwQRlfkcO
XgU6p9O307pwZL3UzdnZDmtDuBLLh7OZhGMtqlw+G7n9ZIDeosFteDHbnvtLYxySzVU+XSMPWpd+
C7gjvcrIyJcA4UjtC1qDttJuvnWKSYgyMm4t7Kchr36cYyVmqZ6KeqY+M9M+WlTKKJZKBG5mpHQJ
31RyLxou0kTD8MKKyE+YmX7d2MXKKzK4HBk9hAAU8M/DIbjUW3k/1Pj6dwbP3FMGF0HOtt8o5Isy
NSZmkDGiN6nydkHCiEU69bDBOYqJs+1NLNCawMMUIYAqxXcmk42HUFs22GejQIyrJkvK6a57KyS2
usGlKjgMEvMmDwxGa0hg97Ep5Mqk0JjE7ISB04T2YtJ13DNudAWf8Nzb4I+iDxmk7xJMQHqBiOSs
aCuYNV7jSXaWIFrP45ZG3NJ539iLaKj8mG2Nr8TZMnS94cYtqF+WjDyGaPo2f3uBJblL2uPWKqmh
NqF1YhqYy+a2Gy3x+iAQOZeDCSuWGuhJdR9iaqEjlwhJQ1E0s+VdTHE0yJ5lOshzGrfrYi4PnqiY
lgUzTYXSaTPKw8uUGurEpCZyNLQNYNfLWlASXLZ3HsXVlWGyegn6L7Vt3ktpPGaqgzkZxIdIDQTz
cprmAdS9Fc2Gu4mCG3T2yz7ovEXeA8NIovSgUqTNf6tjTCLdVwJHRycsFnpJDNNIvo/UcBfCuS/K
+MjC7ktVg6FQM+dkU9xtt1JdmGVEKVHZI8I2oeKrgfZFHcS1S/E3Px4N4AKba5M4d1nX9TwhRuNb
vRut/h97Z7Ict9Vu2Vf5486hQA+ciro1SGTPJtmKpCYIiqLQ9zjonr7WoUxfSZbtckQNPbNMJpPM
TBx8zd5rM2VcuypoVjhiWaVkz1Y9F9PMpeeRStvF5qGLiOohHugG0R2ZzcaRaJMzhNXnQL9wFwmP
ZfroxqtwKIhwSnBtSA/ZNBkgC4EP/atGVum2Ek267aVIEBbql8ROaJtBxeqazKiXKHzW5uI8JndX
mwngNab5RVORvDMK9aAdWSp2drkqoGmtvah5GRmisNvSaxIEy/vEdwnrqF+ShfBzUEHF3VS2e600
76EiFUFY827kXki2UKav/ZDyyh0PXlEDSHYlniXuDnWP5maEPl/kfNZYB1G25SDaW+gjxsyINo/K
De1IB3Km78Qns4Bl+G/E4DcvpRps/FVFJIvn7o8doXrU9xURbDvkJW/1y0/UbxsNjKfM5PSMqhj5
rSICimfzJcjfyFZ+6yPfKyLyBzFcgI43QRa9CWT+SUXkqcL4+46QaSe1laucJmCPUML8WBHZcVQS
ATMbJweFV7ZHNm8SR99kF2mYB7aKzY2XB7oNruc+342ReNDwF66KGLVZFe0EGRmY2qZ7gC40lFV7
7Q7VTtg64VXsgorpYE3depHkWmlPVRRx6HOKRScjFdFFlXR+4Doq3ddgdpx1KAdIB/xC2Dwjf0ky
OuSwJ3DgoFktrd/aY/+0VMV+NPH7Wc5wRUy5tWlKLeHr+tkyoDQzWd3aNAhcyPnHUpMzlDv9Nam7
r+NifvE1VmaVzOKAUuS28CeOsAk+5qw9tItNV7Q065QEVnhY4rJ05/lMszNySbmOphK3x0ToBl0I
3xh2X+lrbL6xe2kHYw0GiDwYM8G2EBLEV8QtuXqV9aJnj858FXcuVhE8PA4AYFdRPkKvb9ccobMd
OBmUJNply2Ksb80ji1erF89GYsO3TiZ8PXE5xAj1AFAj7W42earhelN4aprpcUWzrxYNfr4lbJ0c
InNojcBVcOtZYa5RmAC8XvL2eqiAYMsaqATnCi8VnhdMtDSlscJmFwqgXTTuY7W0tOwSn4atMNtV
1cEZVbdYoigACisct6vA3Ii3bHBdwLpTjJ2xwneTcYr6GCHqRajg3qOQ3TEGCbSbFPqbdQsgkEYB
wbWYKBGMsV9NBQtv4kYGjQKIG5DEh563D75ks0Heidq6oXtMFHrc1t1XoWDkshnHDTIKc9VCKs91
2QV48fIr34qyjfEGNNeItBfwi3e2wp1nQ+fsUMC/FhModITEgEkVHt1ToHReOW4fCp7ukzC7MmeA
6qEOc6FTkPVS4datN/K6oSDshcKx1zNQmAqU7apTxPfe19qzUQHcoxGUu4gRbQE1s3Y1GvANb56N
x9H5mjDvhMkXA/iyrZ3S1MOOV7D4VNTUUb5vf9YLpOmU3vFqVHj5qGCL1dT2QHyjos+nCkSflmi2
ueaiY5ua+n5cSC3cxLC/9M2kQPZo7tv0a444fe8bhnldUfCt0cd2Z3246EhgqChafbrLNSNChZRj
cLVEhmKr+QjsOAr0JexXFREgmy6e0ER1T1rUPORVSXnkCyYXBbnUQ4E5J9VB+ntz+tEoq6u06ZJP
s2Ctb8ZRjBjBR+9cs7JbiPYsUXQ4bp4EgDSbg5AuqVTDJ4ZB2zHywTML7euY9kq+nTxhyjqi9HpU
iQE7lKZugMVWHSLigpfiIDPxteI6xVhMmlXh3xG8dtUY8bEm1WdVttUl6IYX0xUPQ67hO22nq35p
/YPftvtq6W67Rdw3sRtu9J56ppEtFrI5gZ6fzDvLJBUsLSl2fIhVI7OK1o9vIh39vhfhB5W51Zw5
+vI8pUjKx9LcJ1V8zLzw5FvjhTZZzXqmK+VKQa2LF4qSJsmhrqHS+Zz6ZfnJzfp0H1kDm3RbWmxK
hX10IdysbLfqkIcXn0XncGbpsmRH2VxVo3brdp0S+2bJMUKGsZqqCFPaPPr8SlR8swbJjuKSuKdq
jK4LNkSrjsvl+o3Rv+ghbZd60l5lqqdhInY6RombPGrrtW8iZeGEkXjhXRoiZxK72jbmzZLSuGHs
yDlhvHmngmM3YZdYrPgLeyOWFPV263xlsEbqjL0c0KycdFRMhZWeA/ooNtaomzuLkOeNRT7MNgMR
uo09R9/lYQizD2fX3nQnUoVqKveYdNMQRdHOtBSFO+W3jQuuWnOEoJqX8FcZOSqqL6eUrrLTx5K/
1GkHZ08CVrSSqeHutBSjVVrQ1DbYnnHlI+DmmJLf5uz/Dn9U+fHnpc5NMrwip/jyi/m3euB7tWPY
H2xWHThodZuagqXL+/iHybiLp5WKhuGzCk7+vdixYANTaTPjxlZrq/H0/4x/rA/wQ7DoMvP8DQ78
D4od8ePOR02/UcDhV2enSISQ9TPSKzZLNAvSwlFUNU3tnWs5RENs4RAnCA1EHJKdhDStDKFYyMiF
lf+yNXCneDQmuDwBdeYnWTUaZzNWd8cpMYdnGrHjZleeFaEobpkxjCc52fV5mfTVSx/149EsxuzW
Nkao5FWKTrWfvNfQTOx9Zfvh1khbOKBe01efGNTogsaNTqEd6xUjpF1mGuN6yUuSRRi4ftWsZLkx
OzeRIBgx+ZYzMYG6L5izus16MlOT0QWIhCTGf1kUMrwzqTVuSJXL41s9dbKowx5hNMthqeMQjQ8L
CYsjkuBEkyeUOsoupFw2lvg1B0w1P8PsGK7b1vBHnVWSaRN6Baf0EgBCuimcpEnvtXRx6BSHzPPw
Y7pNiwrGwkbgDJCLsBlYB3sgUWWhCl17C4h5mIl+XzdrQy0B9KEVztmg9gPh26qgUFsDAB4sELRG
LRPmpLSs3Wx06WFGwCfW1WLfLEY3eHtT7SQqlhN9mnP8uzAiLxykxAe/8ZPhZkl9Yzu3TrlYQcwH
c7woyHostW+j539PBMWe+vMT4fb5BbwtLvtfBafyyPcjgbkvcY4+kCFYbd8u/PczgS/5LtPi96/w
qPeRMHNfy6VOV5cpR4CaFr83QP4HncbI8PDucytVwPB/cCbgvvy5AfJowdRvh2uT/drPlCIrHUom
EtN4mohID2yZsD4Y4nRTk1BeeFO/xWjdcad27OFpTIuzuuMm6eq+x9wiSYJwjrp1WPoGeHB3o/lc
C8VceoGrJ9qZ3i/PTmgul4DzX0e3AaOCiG1V5+EtyYfuRTlQiM6D1XADH5pLJDCbNIo/9piqR70E
FCv8Y9GbR6yUX4m1/DjGzE7tjNRuJIqGuRcJo2KRUi0mBblHaU4eEGkR+XrSbRI9BNNUZvWvqWff
j672KRu013FQqNcQI+E0AoQhEuNLAw2HbAkyL7n+qZfgtYzZiNFIuJ/nGJcD1jEjyBnaMtruk7Wc
q49xUV2bbgR7GWm/N9uU75I0RWJXZXQRJQe3tm6gmCAkDl8XpYwur1wDDS2m88uS8ecypQ9Fgzkb
zkxcOneDA0RET7/OkV2vk9y89kGSo6anph2i7r7SetbaEmiozON8O/U4TxtBtdW6RC5iQlr33mjv
CfBMAyuPUbmXkmEqEZpBkbDB7EJ8qxRK3Zqw0X0W23SwEHIwzKc36NFNzs6ccnZm3GkkzrB2KtDU
baMEjxW9TYYc7Lho7U3VTYi9EMLs5ISOFP3IurWIDLdl6uxlKObsYxlpXnRhdkvxgOuP7WXO8o6X
b1iCyaLBHaaE3sXxv3bo46Z4OMV9ixD1bSrTv01oWsUCwVTnadjncrFPbCPcgmMxTh5JsAH1K3JD
cy63tT1WF8ViJvc+Yt8Wtvwew8unLJkKyvYa6rpNSKlWSzaus38nyvFgAU8igksirTPyfWsY95qk
IJP6aG2mcCmxPcI4KGwF+enQX3SlIPCP19LqhosJi8YdnwAP74tHdmGTT1flzIrAl2N9FzXD5w7F
xZmXmQMy0Pi1NugfFpvk80QYlxpch56p7cRL7xgM33q5b2XY7k3k4beN2+Qgxr3yLjNRotdGEgeD
Xd9Vfr/ue5fJs+TmESUOkWGMrknoo1BHzA8mf0a+LMgAsdopKHCebpwE8TfiDn87kxV+7Gf9eQrr
oInHj/4M7tgq9RnqTp2uI1vQB0+2dtA0MX4iDH5EFN+E68Tvyx1u3OwlYyG6z9Eyr5bGJ58qnvbD
wkak7cVCUviCJ9F1yB0fLSM8jxEBXvjDfNlxp1oJ6ovAqxKuzGJot9CsgfmYZXeh+QvRAEaGyt+Z
ls3bMfzv/ciinvur+1H5n3XyGv3qdsQD329HhvtB90mlU/gXlpAG95z32xElKmM1JZpyFPtMqUHe
b0fWB4dvNz1uFCrDT3ATeb8dmR8Y0ZEaD77BA3vp/KM0qV8pNGySAH3L8pgAGnSqP87jkjSNuxjZ
+gUSOdpTB3ZJ1AfSdbJjkRRjbQbGsHjMdrCmmFgaynm5lazWImb95xZG++csLgOrbwh0aj6lXm4Y
V6PRAWNOh7luVt1QilNR9csxsmSeHDA/mHfQDjTnYHR6q62E0PpTEVrhMZtdvd+YkGGM28QTuX22
REvevYgycseL1qpb57omLWMgrekV3zuTtTKRxGvYbCh3uqq+xFsh1jdzf7BzE1LGsjAp34RKYrLY
HpFCXhPrZ6aSoLRNk2IpxvG2iScw+23T9hupz8mZ089EJ4VLLVcpVPZn2eGp5vYbsnnwbKwc7Pjl
VWw6ivX1CRH6S+piJUFcVgS167zWffHqigpW1VA09hf8WRhikNw30XgoF93Z9pkmwThGhPqZOjf1
MZMGqP+R+QLLzwdD4xIW2Ri+TAn+iM4qzQOZhPE5yV8sbo2WDWQjJ4rqutnZSOOCliMCVk3J+MRn
tEOHzT6RRTBvbr120SV0YxeCXijOfClAo4atdzE7znLIbCqCxETWbIt45yXk87aRyQBq9lO0KIgw
vDJb1754JWBK2/nDss8NcbKonXdzyF5O6wribkMc2kDIH21Y7OtsXAYgZ86uMgTS9H4i0LUdLzNr
Ijo75ogWuUp7Qse2SbXaPOlRlt0i9bFuStctX1Pdbo9Fk5QP+M1ZayUNRPshPfv31KLRxdqKEu+v
T63Vq2oGOaJ+AjmqR74fWwgr6Fo5aUAEq/6Znvv92KKKdm0UEt+dTe/HFk5a0nhM/fdVwe+nlvsB
iy3KSSo3fsl/eGpZ3o86Ws5GYTocqpyqaCpYTqivfyc57SQf3iHzNVg5RRrkLO8Jo1yVuYvoXTkD
M2/ea8ormGIapHYW0CvwEY4YCscZZ2GOxXBRXkMUSGmAZ7hamcqJ2ChPYoI5kY77Y4VZsdabi5me
EuGSDz0RP6ONsTHE4Ej2+65QjseoB1akPJAOZkhUSgEK3y4ILf1a6PglRx+3TJu2D/rkfZ1sWIfp
WN8WZnrvESC6WTI2jlLzlk0hmkdb1nKdGPW6yIAVpFGNW6zStgT4SQRN7W7MCJXHjoMPUBZHImNG
YElhRRWOi0dbh5P9qc4Hbb5mQu4PWwIgRlJRKgXrAd6l1/jUFdVHwChBEya2tQHxZ1DsH1NRgJrZ
2gyKC5QpQJAiBYkSJohiB0k9/dIDE2JQDctP8YWs/jIf7s2u8thiQx9i+M6mESCRp8hEBoiiVLGK
JoFJBccLCXjVcOaGXXds9PIzZtu0XZd5XOkb1Ag0Em5hm9dNFmWsJjxnjZLqTiexPPPYqRD/pasm
47G0q48MqitkdVN1Ts8yB5pHRLfHmRTVhzKvLjuj2xV4P3PhHScnfGRAxK48s2Zg9OlWlrZ+MNh/
4yzrZmxOE75WF0uFntO28/s8+FGfHAcEGxtAC2AXjVBTXt/ihOT1DjnIsC1qD+ISFjP7zWzWK98Z
fCzcQO2bHc0Y/YvFnK/1DrqG7nbseJTMoq31WxXRESpf20LCTYPRTcOKR+Ny7aTeAa/3LhvkPlbO
uAGLXO8Xp0lgCJ9Mklow0dkF7zyzmjh1SLcv0gdy5e+8Kt6NFOSwUdCs4Meb8OXV+PNafHotfr2k
R1+jDHyMLerAVaa+BXffNIzY/JThb8L55yoLIG85YasyfU0ZSQ8tv5sGuXRjKeugi4dwWpiQ4yk0
WxYzymTYy/yCnfRNoeyHszIiWpp9m8jxc6l1m6K7a6VhBKIR1xEOxprxb1kvxxZnoy7SkRgK3NZ4
HkGMsAJglZZ02adC2SI1jymzMkpaOCZjZZ00lImywU0pQqPa6AWDKne5HPFbkiz4YFKCV522rvBj
mr7z2ap1/ObKqRnFpxHnZtOO5zFOzlxZOnVz3jbK5Jng5wxxfaZFeSmVDRRc+edBGUOtMTwXyipq
4RnNc74ND+mozKRjWxx83KWDSuVQdtNpsqyjpyyo2ZsbFb/MjExHeVRjzBlE6rnRU4qDtXRSlFXK
06p1ewy7Tx1e11EMG0zgu9TyP/V4YQsJDKeiJ7EMGfS4ZduofpyVfdZUjfNou+e+KW98oyG9AjNW
0LbWY4L7duxasm6w41a+fW3hz4V4cG0qw+68DBfOgIV3wssbliwnRFuTN+ztEj97SM3sPNK7e49g
nFWe6jc9vmCzzi9iJuzk8z4QNn9LgLK3IqP3xS641PT2AhoQIwysxtHM7DLFfZybzVmDG5kPybFS
9uQYn3IX6ttBGZclNKPCbEgTwwQ14G2u8DhrwjjTmNivmlE72LigddzQfdscCtzRI3E5gojnSfSE
8S3X/YAhyyuaCwtf9VTzkfVpGwsc1yHO64zUL7txDj2O7M6uj+wHD4YVfxxwbDs4t5ki56yEwu3g
YNnC253h8TaU2XvB9R2akFBwgZfKDt7hC4+r7CzBJz7hF0dbB4yIGaNRNXqQ4im3h2Rb4jEHdHCW
4Dn/tzb5VpvQXfxdbdKWz+2XX2b/KXX5e33C4N+wlCBBZXO81RO/1ye0VbCtUBfongqh16lq3usT
h69QhAhkmS4xG98TNa0PjAyR9FKhUPSA+/gnUz48Iz9N+RidUeeQlE51AolEV1//rkARk6PVpALG
l1rmm2tHTaR9JmUHV02ph7eBdd/0LZ7qWWOQHWVqqB2OTZfeA9lIWXmpsXepJuBlU0cTDGA1Gcdk
zZBcfpuYR1OzMD+HYpUyTW++zdYt8JUNSDQ1dGe83zKB79/G8X7fA91yetiHpQYmZUVzld4VFfdw
ZlSpGeSZTrKbQdAFtMg03tZ1jnIchfweMiFiM0d6H0uDjKQVh/XwsS6ED9TRqZc5sEumO4HWNWWQ
WbV/ZWVDjQqwSZ80p3b2NJ6g0FD+hUyUjMhfIXRLLpauIZyrCJciCvzEDQNRmdCv9CJgqydx3nnF
peeWw02B1H/TEkpogyAoh73UQoe5XON/Mll5LoHoRbVwt5LutPL8xPGClNCiG/RzkHiWvkj2eest
L4WpwfOJ7Lkrg1nnJki8rnBS5im2JQFI+IPV7xwGfFq3TiArPWHGNwxW+agi7JSAvXLDcoN9BLuF
YRlqWCsWofGgodl6EyzWRjuPAex11w7pJ/S03bXwOg/gl2swlEPRf0c7fSmsrh6vEI5K76rUooEE
+E6vCkRxlWwOsWlIdruJmT5lWBPuJiFzSWkkyUAfSz3J97pV9t5K82E3Hxqqt+lYeIk9vrqjH70K
2Dg7AAshAIW4wjEssAF3WseCV8M/l/lJ9xhbRt2eGuZP3KL61b8n19vJpZC4f35y3b3Gz8XzHzsq
9aj3E4u2CecXInDlrkFqxbTn947K+kCLgY6drCGTpSHn3G8nlhJmOSYLSZujibW82n2+D4LEB7aY
nHBYa97QRf9oL+EYf2ipSDjitOK5CCp3FWn/hxMLbbmlAxPwT4OIs26dWrQ4jr5Py1I7yjzaGJDM
A0cbZsSL8sAw31hVXJkbYxDH3iHzq7YsYxul852vVc1OpogbSyPJV9hQN6msXyJzAlu99HJC1e1W
UltbmvzYwT69mQsCltzWZaBpzy5sem/tNibII29oL+gBiXyOzJgy1fjcI4TSUVTu67GE7U0kT4CS
IUO3JG9mY7r2QB1dN3RqnKmjv9bzkoqL0daKcFIM1FJw3QqA6QW/lT9l9FhSI0PYCzepEsCAofxi
lOYE915pfvuSyEZX6ZaiGixwb7FNycLSOIUmQaOTLPl/VIx7z8iNFSiQ60XJL1pOOZ4FScaixBls
PZu1QK+BsvKUot+Y0HH0LbULYMvnXkk8XCX2qPrBWQ0heXX4QjO3Ohs0HSiciysACP68W2IsMC36
EV82CMreJCW+dl+jMRFoTWrK4IPTLFfwMeY1g/kHq/FeKvQpjRKqtChWSIG54g5wFw1IWUaiAAa0
LS0aFx2ti8OMCOcR8hdkTN6uzqvHdMyPLgqZSUllZjQzkxLPyF5sE9Q0DskatZLXGHacoGKhei5d
XhZEVPXKUpqcBPPXKlM6HRPBjo9wJ1MKnlFpeVgyT+yv0PcUSumzdN2Di/THd6egQhe+ySJAjHPE
WL5GKFQpxVChtEOT70brDjkRtvQAP/pgBcnA3JBbEFsAcqmDyJZXdUf9qXtjumkX+WLX/eMQZ19Q
odvb0DK+1GGGBWyK+2MZmqtQ861tVHrD1p2sMFgaeC4ZH9edxKENl8ku2lViQCiobetAkqTYEe7L
4ocQssNEEOecums76+g5Rkz+4ehtjLSDku0iAixrUlp11l9c+zWAuizfJkiWCPAVK68VImCplwPH
pwMdqnhZh8A6LYURGQGBRYCmQNBNJ2sI96ZTXsVTeXIzn+1BspXmoShIZrgQ/MzO7m/rZuwDd/Zg
+rsPnihOWUnq+2il8zpMp11GI6Y3yWtX9o9eHuswB3usFWmNPN4TbVBxH131abmtsvrCNNHoaMU9
7J1D1kTnfYGW3jDxK5vzlZmDGpJQWLxR8GmfCOzMzeUI9Ocp7pJLx61haeujd0gb79wUxSUYsF0O
vpNMAqBhVZYtIDbZ7EWUG4jijeQg0+TclMm5UdRPuUG6hj92wBSN8B7J6oMkTtEsMnsHZUysJ+Q3
AUwVZ03QGEa7CJUcQRI7kAQlbfkyBSikb0Y3fFhCfr+mlpgDEoujh8cRt0xEIEEJdZodwqV9bUrL
3pgLslJ6F7hp1AxgKTLm0llOkCKcwtC67kdEQVYiZ7Rbnb3OBnBpWaN/JX76zE6S8ySOPQoxlUAL
oQZR3dPiWnehWnu2YcVgpc+1FXPtG9YBT/CDsJNY5bWpoR4yFpBVQkLAYVjUlH6IHQMJRCxp1My7
Ie4u9EGD2VL7x6QFUBZ6xXUOvGLyEu0Ykw+WOH251vvp6M4+y0uElsw0HLUtywO3xB6Y25geFz2+
WMqRdFESGdbAjr5GS3hHaWmtZkMNfJO43k1x+qWtnVNUGYCz/XFZKzVvUFJrI07Tln3v11tvxMuy
NMv1zFhgg+6fkDcR3U5WspGmthdgcoUohq1dt0c8qNiFjDgKGra+CLRc4ljdytmGxfyIUHbbR/oz
mRPJbjJjCXJpuHRlcW86w/nCWAMxZLKxB3urgqOHyj8jJ3ufoivf49fPgnFxEwXm3s2e8YIh4sKJ
OLMnYW3YBm6ojl576sx+ap6XKdp4CVdnN8uAkeJT5cPxzIiZncYQ5T3xGD0CvQjN78CHgKxqTu56
5SXEXzsZM7Bp9u5qSdEKhDLrOSgTyyUlOvf2XNxg1JfkwrBGXKKdOLUwSXamPX7M+dyu/JwlrzfC
kBtMcOls7loHk4CLFHRHAPIz9852UyWxRKM6M9dAoHDyfc1nAuKYu7ZrH5PMuHXQYAYVSkJQQE8o
z0L4uZTfHcEhCPZrgxPE2C6m/9mCU7lrRbvl9/vcpg2iHb/60oULuqMUpB2y3+WSyYezDkGoc8+7
GG2+NtbxWQ+fZNUPbWDVWrURhfwSuhniGK/5Ar7+lKaCsaYWZhiTwguoUhLK+xxvRSWGNSB0NKep
xMXac4KFvnMZe8Rr1nVSrrSk2lYy2s9OE288zkl2GatRK2/nCkJpoqWfMKO9YPUNLJUnHYaQ81MF
6w2HW8Nhmd0MxG+SDXuo+5hbcWmTBkxpFLBqZ9CiGd1J7UYjUnozlWjtF6grPPxdHWHXOjYLWoT6
q6+V0Ybp5dNIHuxGa4iojgjLzmKH5NFIe9QbcrRbBjCc5h3x2vYQ7+LEdvCAydg/6NjfmssqJ9DA
BYyq4/OFiTssG90QTfwNf/HvTtVCh/fndfTtc/mfLbb3l6R7+dWCggf/Xk6bH0wf9gD8FM813lr5
78ppg1Ur7s3fK+33AYD3QZgUzei5fn/UezmNXlBYuuOD5vznUHS1Nf3B5cDTE0VIEpn6oejEfyym
nVzX/TRsl9PSPzR+uFJagu9emF8YkNVP+J9nUPmDNj8DeKJtCuYLbzKj7wYMyADceqot49SRqshB
6uQJ2vAvw7D/6+f58S/54/MojeN3z8OlUjctBLyTUw+B0Z6P3pe/fgJT/YS/+kt+2uVE6O1NSVd6
MidvNdj3HnJrdAxCQxw5bDCyBN3wVMu9TK56YOtG8spwIiK0u7ruy9uIaXhPAe1EGx/OdWQDf78d
i5ig4OJvXgq1q//L35QW7vvXwkq0ED+eei2sDWMLKosHOSAxN+zTyI2Hcwsf71cPfnDDf/puEvz1
S6VUaH/4BbATOyoQDeS/+ZN5poSO0A+6N5/YhyYG3IM2P8/AjaDKru2mDkSKDulAxtGxnYjSkuON
gd2MyUEVBYOuLUHLCYwFGOGluvMeRzQx7S4vHs3COo6hju7M1FLjfrKKdGdlAoJ46PerMqWMdttD
zSYGKN7W6GfWE/MuXk6Dm2yKCK8eKlWo4bsWSnpBztWSgtN/7DiDo+6ui/wLq8/hW7vrAXu8OYLr
dMh14sYzp/U6I6S5xjPgUmQtCDqT2QikISEwFxuyt+bmsaNimsl6bcbyjEb0msyRdCp2A+SZ+8IB
024t1qYSd71NJY4nL1UybSeJbJhBDV2gj4q8yvIn4AerogAUIJywU3nof4MtUs6r794hFpM/Xvj2
T5fLmMAE6KduOek7ax8elvP+wdqBNjx1K+O836My2AApD+atFRzZcm+r9fSkHbJtv9N37kWyTb85
5V6m/xW9VlffLqP/lLK4qrA0dP/9Xz929X+8fBmGfv+RtfNceoX6yFbZgZy5clxTkgDE1v/mOPrV
J/P74+inA89PiiWPWa+cNCJN7qYvTRQgGsaYxFzvry8C48eX+Nuf9P1F8PNolfejtURinmLWu1dg
NiW+R/YiHeO5IDohHP7rJ/zVCQhjhXkuSUxIdX56SxkUTJ6XW+ZpTDvEWp8H7eqvn+BXB+D3T/DT
a8cSk6lmZJqnblgrE9qoBew7/+av+Lsn+emUFRONEfGu5kkMZ0tz7N070/3013/Hr25J3/8dPx2P
M/dqkB+OeSLJBDIBRjH3RqSXIp6+/S3/v6uji+Slrbrqa/+/1U9+qeq5TaK4/z8//rP79m8up/Vz
//zDPzZvAolr+drON6+dzHnotwtPfef/6xd/k1nczfXrf//X8xdiohEQ9G3y0pu/GBhyff55eXQn
q1wW5euvH/deGZEJg9aCPGQXkpWPz/O7QaNOXAzsCw82GKoypMzvg0bLx0hhWVQ/GJX4FnWX/q4y
4n98n0P2/jr8dgDxEv7pgfQts/gP93vWL4ZKa+aa+un6NXCLFVpVFKfFiY+gclf2gMVuItlhKdOK
9ZyLyy/ML+waPCgKlb0ujV0CyTuWGgv+FKu8eV1CKZSWcRy7+jmT9lPY5aiy+otpMc4jYe+X2IVc
q1VzEHvRUzfn1wO3541bFM94RdzAVhxsQhvqYDFG0lVmwIZ5htHUL/ryobJiQOaVf15axZUfZ/RO
lSBzwNOCVmSfXc3ZkiTANAYdQuukq1qkj6MxYLgvad6cBoKPzJh8GewkpVt9gcUHmoBxU7DEnsu8
KjMOzuyf9713sMLizpqn19leLjpbfM5DKNPzUKEZiHaVKyltgHdVg3sifOSY9yB4ROzcW5q2Zjvz
aYzdbTegz2sN8KKj8K9s0Z5hxjulY3aZjmQWakZIyMvIiM5jCmG02oNQ+VYVqY26k56TQjlh6JjP
GLH1h9KBd1FkpKzErii2Wio+TV5xhY8FarVfXdbNtV5Z2yJLNnTdJ3h6W2lNjF5xrKYpXPnWeLYM
YNG59jjY4QOjg60rpUSOhobAyovPhAXd1xrZCsWCHs+Y0ssZswm5VfJan8Jp3WVu8bGxD+7cUXv0
flShAfCGy0j3t+HInLRwoATNcriNcYnx3+jW3S5f9035UfJrhEAEgizRAH2M1c5JdF4b3wgqfT5r
Bt6HNIXxAc4zX1ezDyBptm4Svzobx/ALNRTWT9e9syv3RmNUH6DhPhegRFbS8eIgrhmoMYW50Zzw
4KS9fQ76F7ldk95RfL74OqS9sLguGDWmZfsxEjozLNMZg4g/al+HxkhZG1JUVVMUMFnZWrYiM3gh
EqYkA3Mq1wtlq7NkOx3cZmbiZyvlNDMSkq9Qvuq17RJzoXv1Y4U1Vhh1rjQNuApz0LRv8VzlZHSI
p9uJHZHHuH2aK8Zoor5Y5va+WbKbsJY+IS4po79EM3DjQZkoJFPyvK3OdHJImMFlcIa7x8T1zh3b
uSmHKgm8BHGjZizLrigRMZQYgbdiLvlkWuanumxu/YE33hlJjnaWS12GUD408moG50bU/o0E9zRa
TOCNMDx4mYY7kw89NbK/JbsFDQMzZ8Kfsm5Vj1iM06YdAm2ZnyNrwaRJHw8Pl0f3YAb6QVvrGYuH
2SPqJC+SEwraXbKYxWbObmCAgJJBvBItz1o2P/eDexdNw12Wozqf/KvMNBkcRYsd4OqGe5NoH2cm
A6s+9zYKvhDPg3tEczgyzidrRDqwy0ttfuZ9nY+Es25Ay9voPEjfMQlvMafuIte1C9i55Mz7c7kh
l+i5WshtqXtoXm4x83axPp1HD1tXW0HgacZbou8qSDFknYRmRLI7ppRgVNkyo+QTyP//aqrcmdnJ
wxXuZvYSuXbTSP21Uyk1tlskx8rz7msCbDqVZIMg7xVYxMlDNdalk0vWFqk3JSzbrWsw6VaJOCHR
OKBGeLdVWg4u9nLFgHhgnF8+2SpTp1LpOlFCzs4woOfMid4J0avtK8J4GjfBZs/RaBPT02AmCf4v
e+exG0mSZutXuZi9F1yYuVjMJsJDM4Ja5cZBJpmutfann8/YXVVZNTUFNDAXuBfobSIZZJDhZr84
5zsRwT1LF123CtyBbYtII8J9cKyMNGHlTU3sT6LifxbOSuKAQPAy+f1KCCqdtzCs8E9FR5M3548x
22ip948IfIw1tizlOCe0qZF8qNM2eB2II2q6+i5qyScKMw0QBYlF7Iww7BNiVKk0o4ZYo97SCPu1
CBwcVeYRZub3pMk4KoBfEIrEQbcLa4IATNE+IF59SolPamrXAjfdPwuVrGQQhOlDnIpOi8pdir8S
mMDPod4nlSkzLLzyyX1hW7ulIrcpSI3XMWU575HsJL8injxM7VZlo8Mynwb7dmyPS/AyxicRWbcF
Hl6au6eEwXpMXJStcqPQXYH7IUmqUplSemJ/Ghz0G4NGCtg7j7ZKoNJUFpWjUqkylU8VC7JDPHK5
quxuYGrtoAEgWwkf7WzcFxLGh8q6isP+2ekIb9KJwaq7C+62VScR6YVOeCNUWFamYrNMKD9EbcbP
BolamYrWgufOMFFrzp6K3RqAgWzRySWrBWTuqlXxXJKcrpG8LoTtFKsgZAioLkMPPHVP8C/z5k86
gug8Fh2WbKz+0nlOynzc4RlBOtfVy3wxIj1eRy1/Z+KJ7X3okkkcB+uS8+sYdIt3TbBJea0vTJ2J
ZhAHRESXjKGn+9aLmWXYhHAvqsBicXkkCL/DbS6Ns1nJA6fR0Q746ACwXTUdzBKtEYB3nIoTYqjD
lWi1Pel0FyHacF9E+qc1658Yq965cgBB4LiYdc3PXcc3U523zs/YWkbpp1OGIjst2EZGO1PH/dgF
tKzI01+iiWiH2eiSzciMszZaBKUmLJtBU3EJ9inkl129d/rREMFdGjh7TRvNS9w411Y1kW3d58Y6
zfRHfv3c4kb2WU3JcSANb1vV023T2rvEJQ5ZWk6xLSaiKGeQLhiXiKAz6vGl6AAATdm9FLNvZ/IR
LenNXKOps5f0MAp728TZzcBzsmrLif69QjQovnO43nQepHQcTOwY7foOjemWAw7Hs2i4so32UkQA
upzF2Bc2lii8X9eMsBEjBhEBBIASN83U8XkYwwwX6wJVwEb2NyEqr2xMT3Fpvi34eqDejKjLwRRi
M7hQ5L40TXU1OZkDlkbbGNiMQOy8crVsh9G8a+rhxJO7d0xbp+eP1I6zWidxdh4NrtrUuIqD7hRk
5TPT4ZcxSJWR33luwX2VE0EstOGwCxhd0eeHT/mM+N4gMH2Jj41ozlMYbqvRZEEXu7eRROVva/Zj
Xw3nhZxZ2rH3TMgjOWkMkK35agBJvp+bmRXjZJ9zA/6inXMQatFOl7FNlLIgs8G8GvXl1DeWtQ4h
9aOtsJ+TMc9vrEBf0Ai72koD1+7DZkCrwhp6PTK4ISmnmIkRc8BnL82+ZfHpN3ry7ozUMO7U3zhV
a+28BsYJzMf2Kq8bMsWs8ZQlDqSMMNilWaDtvHxMqDmDjodLEgwgHuxOO9qY53dQMg8e1RYCnsrC
Rr/gsov/7/Rju8/ygoOz/WP/9f9yO2bRJf/P7ZiaVh/Lt7qPi//ekakv/bUjQ0yPtcagr8CP/kdK
K6oQ6dpcj2RW0bHpeNF/nVW7v1hITygydTDeOFl/kn5AfXWNf74YVlf5r2jVrC9U7+8NGTMruj4w
3hAUhaXbTMf/OCNiMZ1Pk5ib61nD9A1JqzeYEhaFmxxsVE/XsWAyFXH82rLZoX+St/UMaW4J9Tsr
EHdp03+WOlafaYrInRlOkWNsB9BzlFprbSCpojCu3MLwFxPo1CCm97myrvSMG83q8wve/m0QOldt
pG3LWbtldffozMWzxC3iBjW+ExQUBpqxuTik3LmRxsrLjqyDdKOnZh7XxFHezml26clHIoDmwgGA
bt2ekIcu6LkMToPwURLlofGONlkzvntxdw7QE3SN9c0KMRR1SgdgbzvLOw2ivgRRdPE4J1kqrcOo
uvQkAlhlfUYP/ewIIBDku3jYRbWULstILmqfxCPt1+3iR/rw6sXtTRT153Cc12wtd4KgBRJukKsA
0vB+tET2qOqlJzOnPy6e+4ZkgLZDPCfJcNBazx9kSzLdAmMi8fOKZXnV3M/t3LLli69D6QBvJDop
sR9lm++Xub3L3e4d1Qqex+KC0f5qsFUX0R/zZt73dQu5o/rhJNWFmTJJFt7BCsWdE1E/Ayjad04B
MiQbz2nv0B/OqHiD9M0qBZW7vY7A8q6YIl73WncVmrm/hMOhWUi/cLS7xJsOhh48CZWFrPauRWys
akI/AhUvEwV6vVaC3djNRrhu3GTZ3Ad+GdtvzoB/grtt51YSe+lUPZsmzqV8nN4pYLxw1TQYyjbt
7I34t1q3SfbADKJDVzZNci2WhdDjhDwWazc0OJc9Wm1/UB5ZZZYtaxaRaOTu0rKrjoVNM9Eqcy0q
Hes8yWXwh5mQ6myKSxwOhLDg5E/uTMMEgKAzOMezmxQG6TSG5254S8u6MDmQDWXyTSpSTDtl/O2V
BZjQLum3uIJjMdd+p4ZdgUX25KLMw0y1IRuF7aPbdEQ628zPE7zG9AkQuZMfozIhe5r5oOFKLqlD
cYteL6bcClzLxGSPWKnQ/GNpjhdxhlPyrCF6T86Nsj7zfzFBV7TQFr7oWPmjS6JFlWG6GtqOlA1M
1IitSd+pxHtIDNpKV1brqmU8waCB4oPWxpmSD0/DIzsI+G+DMmunpvsZVt63YjYfJW5ufn6IQ6WO
AkhZva0KETq4lMqXRcI1n7L5GAB4VnjELTe+HvCMs4B9EtP8o3f0Y4KnnABMwj01Kgbc5nRqLJez
+kIJXm9zZUk3lTm9xKVeVGq/S9j4xowGy+8FLdpoFC8j0Ae/rfMPrVTAyQnpkgNJbJuk0yHQsl2i
o3L3lgFcFxIJ4kauY915B9byPomBHMsJpQwWHuzKaMqdKKPcxHpo1iRHVcBgasvcBaX50hEMtOKY
ojWTB8rnlp1G/DKHFi+uie9xUOe+DSsMe/271jd+awKMmALdr4vg2cKQjEgKrYnZY+wnmoY2yVyL
jkpqaaqHCA+JryfzTPonf/cpCF4sUFKYiQKHz5e1rVMmOB7Trc0SpzMZ8zyWzegSVmJZP3IdPdIQ
hB4tKRuSNB6RUdUHMqBsfrbhWLnt9ZQjOZuXniGWdRgj/RJ1w1Oh68dudMk00wBax8AzV70+XaWR
fj+G3UkW0QOdNJmdrL2LJhlWrhgt3560q7h3DZAf6WOD1gbHf+X4SA0IOo2itNg2YxtGa61UvXbd
6cTNDtFB4E2PskGsCt3VdkTWwQQrqFGLNi+3U28e23TGw9liKzSm7DYuWZ99XcH/27Ph//9qEfH3
tQgp4n+lQFVf9VsZYqJA5X6CXC1Buyv1+08rc6nGv2BqfgXp/F6GKJedCzHeALUj1Qv+OhiGjOFY
Jq/FqFkl6P5LsHgqmD/szr4WO57jCZOttmu5jsng+uddFZlnWZXqiX5tWhL/lqQiXqOG6b83Sb8Z
RDqt9DxI9yxhCxTe3lPQkakToInypXTeuzy7d/LRW2FP9Puu03mw4vde0w/tUF9haAvZfuJ2Q7MB
zHLotqllfBudKdy15tie8ro+1APP7BJfW512IOPpzIeVcWnrEf6KvW8giRdIgbsvYviro+Y78PO6
0S7XpbbccLgzxYvHO7axFABMitENUZcwYisr7UGL4oasbjZI6P22YWBTwb9k8fxtDDkCEpnctQ0h
UE3drqGxn3K9zjbEFO7msjTPeiWuI66AlW7giZbVZSj6k9sGH5U3nmL2OCaCtVsxcf6ERYCgh5lk
aGqv7Ko3rWsab81cKsaG6y9t8xSb+kfocHSPlVWjmMweJ0f7YNDFG4H+kKbuec7CaGPwHgI9PcdL
9dYmZbsdAoa+2CfzdWTWclcwAw0mjtvGzR/nKrhu+/Fbbncl7gPzanLrXSdS7tccVR6t59aF6VsH
8jo1iVOS47LvR0PHmuQ9JTZD5FGeYYXs9M7lsnaT2yLXoR0W05XbLlcjpI0Ns9+XOAJyO5g1kd5w
f+sWU1Kadi9yGU/wThgQtvmP0m3OpmGFQFJDtk8i8guCrdATEgjemfs28JpVW4cPZtYQKIB01XVA
w452X21wGnwUoXMfBvMOIOGENpUY5dI0VsyWPuEsnRa72NrcxPzbvig5isXgupvSjFtMed1N0SbZ
lTflD/ZVaai9ATFnNs+TD38w8p2+/QEOeZ84zc4eEPGyfg/JV0rPRl9vqrJHs5oiDhu09t4Ymh0E
pVcxGzsvxARQufLUJlhZu7LEFVLkKB0ibGwtYR/dkq1RS21mVdMJRMfrdGnOlUd8aZIHmOpna2eG
5SmVAl8knqcUHZpIx2MSdck6auZLg/1bF8GpI02Q0omAvO89iOvnqOiUa8LL3ZUNS+/OrOAMhiuX
Hc6tXnn1HUw2PPnGFFM+69tUQx3Vm8EP8q4/A+npcBpJ69LRbznF9NTazXuX9gAhy/LWCclhi9Jb
ptgHl+y9NZplv5qwb1gOs7dMb7au7C6GlQneXLWpHcpTa0oIW53EhiHvyNzNWdYJwbHrChhtR81u
2fPbZJt+PU3fANhudG9+5A8drdxEO8yxdlXUyLpSNkkeg3EQ6mFCUiUjtiSfSX4DszgBlWYZAxy9
ezbqxo/kHPpmPm2H3FUi0OQKmzwiOAZ9cLl3o0e4YJXzB3nqVBLv1KuQvvWAMw69CHLxwvHnvPWj
2HvJkyRdtU10NWAO8pc69rZTjo4OouLeq/ULGM7v7Sh4COBQTQ7dgvBUwXWG93IAc8XuwwSoaI4j
f1uJbhlVTNt8J2DzOplcv03Egx6H+cqbm6sldWxoPLB4U55C3YVACYtyCwTkXvbBZ83KhJ1Mfujw
r1DLD3sjdFDO1th1WHoxtKCR4+ZOYjIRoVutI9GfR6c4TSTfsSAC1hq6ryTRrTrb3eOqXTWzvvOc
/ia2h2fdrA6BmJh/6c4mTTLOv6nQmAmVd1bvERe+NMSThui7k72qgap4uAT28lAjDK/N7jYw+yND
oBVeVQab3uwvC5Nsu9lYBMkCCB38FtE4p7C19WR30otl6xJQtvZmDVWOrpZoDOfM/ptF68GkX1oH
g6GnoerfMLxFc3vluTDQF4Iet/YyHnU7hZyCQzKtQkhjWqx6JNmD1pxurEzbphmyZ8/9AbBxW+QV
FX+3aRtX27IqKNYjCIu5q246x32c4j5a55KmZsqlR1iJmb2kEG/9sBp+JG1/IgsQZWhxSKChRx6O
2L6J73ryMsy4+SHDedP3RnWJpmlbJ8tjapjLCq/7Eyfwpi3kbaMFJYx771Wzm+epnk6InSplB0c9
WbnrzohOJrVnNCHjHcOT6DqOcTEfgtpLCtYvxNfhaGjTJ2iVY+obWmFstaUbGTe5m0yPD6bEbFSN
+eKTE/Ah6OR91pHs5djsectybTS5taFcCP3QNLZTsyR0PADksWeis0zPjHg5LueJBIIyfi4T8waf
yJ1IsZUPJbTzqP3O2trvdO9IsuF1awOyQH+9bhx8pIUsHqdZe6qm8iGL0SWPheVXGV2lO4/XQ4oF
WCzu/VJUTO37pL9tkPgSpukke6H8yDZkbag8BkitfwAj/sfFtflHeYOS9tj4JGCLSQMrDHCxP5Yn
be0aYsZhdW3c56sXuR1u6vWyQlv69nDXnsnh25Trbh9fyd3oR/tyGx0lbeQ52v27wP2yWCkJ498M
2+LPpnn773M29VW/FbgqDQRbKBAK+c+J2W8FrvELcy6GaRbpHiYoit/nbPiogDdQcjJWsKBB8oK/
FrgEhZAHhvVKUud+Vcx/Ujr8nfLhL9BvqOVV/Q2xkoARhKF//AQtqJsjs4z1a3QYyAXzhZRQ41sZ
foBhXCR9dGMXV2TUKhSkx0C54t8bIifYE133JPLYbniX9f038snXwHynXZtGL0Ujd3Xl3FmFy6VA
9k7rvBq2YN47QUF00lMnHaI6Ww5SM2TzPhUPqARhTnh6hirf6HxCKl/Zuvm2NE+SlToVytuiNjrJ
8mIKrV7nU3eMuEm8KXEoLOJ928OJSYrlhTtjP5LFQ7vb3UxO9IqP/nFxyysvAWZhmznAKfOHNhbP
ddM/pUAhVqKX28bTtouz3LBAcFa8sx0Cih6ABDmYMdsENOx4S4Lx0DGfAXhJpgdgZafWtk07EPuQ
u0/1aE4rxQc4ICIwVkQ5nxI9gxE2ansUAQKZaBPgFJ13pZgOJrKAsbLvxgqTWJc3j5mc37KKRAYb
xlYY6c86RberfJiVPp0JmZWMbRxtI5Niz745IV2oP7EuOoD14YYK5HE2Plr4umHQP86uHKkYwMEu
LkwvncyHrLZwe4lPy0E160nj8cuVO7LUZ1wZbLsW9TjZMPZGn2YMDfPOdcdNNcRXfcvvLAwzAf8i
TJSGBa9tc+kmzvVN4CTlrpOxnE5dGc+rRVR6dyhdN9x0DpekYXZsWOpSb5wNwE/qwbZVZO9sqEeu
G2l2vv3F/p6+OOC5WTb+nFEfh1Fdw1gj+KOvyZkBI14onrgWIOCzWHSwy4I2DmPXH5f2u6045F5a
/2CXaa9mEOWzYpU7iloeyvTOUWISx3IuWmRyIZkVr8GGt9Sil2wSr4ULBX2YhntmV1DGFSFd1PIj
AZluooNZOtZLAzD10BZ8FGBC6IqznrbmqVHkdSI3rA3QI6JlFJXdS/cial7dVHZb0BMZ2YPu69xx
c1TCTrBZjB+0QIoNM058cjrPLxQFXlc8+CzULuFrhikCUDzZqB8CdryEIW8WhDqny8kuil1SVreD
hZ8kgjpfCVb5Nhz6DAcGvCcchbr9HCgqleRfXGN8Dpf6NoZlPwutpW95LaRkbjtr5Qmj9xL7vBSN
rJP6mh1p2KAYVGpRSwbZRCUw8hdPovoO5GF4SCPW0HZxYXiEZbDCJQQOKWOepW/rOW2+//te+bpX
LM76v7lXWOKc37rPv7Ib8IW/XS3mLzr3u40x9os1/PPsBCKbCddcOp7F4f4zb8D5Bd0DyjlsADrX
z8+kYecXPAoouOX/kt0A065L1h/1iWP+mTZA482BbFMg6eVNE4rNTHbPT7+Uv9AR8/7Q0c5hWRw+
/vM/1GwGXgIbIvQ+EKGk+JO2EzJ6avVO31+3IjnGzpOmX3sEkYu9Edxg2mqNzd9/P1PBHf72O6qf
6CfjgQmvJoYq0JP222tUfyHuxLktOR7LsGxvx6Z0j0PHMMROCalpbbpyogrqYAokKTydA9m0sL9N
uCcOtoVEZq4r4bOXJ/rFjdBtkdbgIgWqGv1j0NIf3qS9FAs6a8MUQDjxbCUhu9ZixnJqmRH0nkwD
tRrG4V6k9g5FYbxl7IRvtEIZE1DurmMCafB0glkH8kbMtRlDNXPX2MbuXNZiyC6ZH8XDlVYH/JXQ
yuUBrSamTR8xxmq2x9sgQDUbaNa+LI2bgZQa07UPhY5kI03CU0lSFGOIxwaO/moovg2Lpe7c/eAs
Lfbsdhd3xA/gE4y4IVaRXY6kqzftLojmc9k7y71Dzc0wXEJAuC9B0u9tPAOJUdT7mrOou12+TAR9
3qBrzNDGd8CBLhzttIRtt6ASs2qoKe6VbcOeF/kVGKTDlILm84KLpqcXdBzPAETR8kEXIErd2jZm
/F1I/QNbrtyMUpynShwDtFNDWl11wUivMx9QotzoBIIVQe3H03wFJ/aqd5vS75ZcZ5s+ntpBf657
cyMEqKu8WB5lhr4fRVZ6ifvipki7HT33JV3So15SUkwVuoG0Q0hWT24BgzAl9YeUUsYnj3U3c8Zq
erg186o/9P3YAYk3CR6J6/kqmzEncmGgoGQvMl6LyL1r+8ZAVJZ1qyhqtgaB9UEW3/SFdj8OZCTB
sFkhm9u4MY7evPtwIuYrhp3cmuG48fq8J53J8D1TORPm267H1thSFdj0+WMzbBm6+LTQq9zAkVuW
tDbiJg+4j8eJ3rDL0uFumqM7COGHhuQmt3Jf6KXWkyObh0rX0MDTNhYQwQCCY7CELLXguhAMz4jM
+tRpAYsekYIwEPk43sHME5uparyxNbynQXgTxcNZyGRfy3w36RKBUbHGon9q23KPU3HVLh3RmdqF
4GzfhNLDQXE7w8gCAsaqzKKaAYz7JJqWfDmSmmvV5yEinffpKLNDk4GNZZMCUFA7pu3yAP0CBHHW
sX4q75OBLI9k4GMNL3fdu+ab1ydvSBvOZZ0lCEqJWB9b6oGgHUHMBoO7/zpm/r0tEIjL//bS697+
zxoK5F80VEqW/tZ2//kfmvGlTiAPkcUAwetfUu3fGiqWCQZ9E5Qb1wVowVf9ujFwcObZKuuaIGLu
PKUy/7Whsn/hKgFo4SjS6Ffy4r/SUEnVcv9+K/FKro7HjyqTjgqZgvWnltwLtJI8VLe6Ltjkgs63
GyL/oCtnU/EcNxbJdgmPbmsCPM5Soq2YbR5qafwYSp1rJM/H46is9uh1E+YR/T4sww15jhJsNPdE
WfTw4sikSJzkfQyQ1BpARzl5ITdkhPNtnJzZmFbN3k1U54+ygbBWj9ZMQuxyNadsxMOO6LH4OUis
hxxjwLWjWHIo3MZVr/hy+mTExxzkXCDIkUk979ZN0QOzJ/tEiNVvmeGPD0Xt7alKTkk1zVt9KjZa
O93VBg7XkrlpptVsAyhDRb2Tekt+pJyucqe5j1pm08z9z610iI/srF1K5Dzhi+33mYU2l2g4bBxE
wWsrDsjaq+9BE4NEYNNHmcmQsokP2Ju/GUbkcBSNlyFUoS5LyMy/djkhSAkqY8OfUnIis0ZBu5e7
IDTmvdQMfjV9PJyyGP5dLhnCV/HRcwlMSzKYQp32kSQZu8i6dlZhGe/GBXF6HTgNYQQprVtEDGFP
5mufuTdWWKAT6RQPnLQ3cGh3LODvyvbDdMsfDi/Xz0pCXdPLRUb7FjGJhL6NDko4HXg5S6kxE4Md
OcTDbMBFlgmIIXO7d0vvDhsdStXcONdTMm302qg2sVTxhnyGdyQIPIgFNVk6eL6ryUfCtb1jPSSo
L1iy23Vw0dVB7gbpNoizU1t2N2PArZWROjKCUQDe4xsyfvZEK3YFlQgpuhgTvazeLjH81Xp+YWW/
FcXwTYxzdcit4W5oCfs0lvGT7zwRr5N9Dk5tXLP8w/xmzDeMeYGYp9HZg4J0NVjNu9EEzqprDJOF
NQVPpOUOk3LIRpu5aGnmlq1UBRKb3eoSDppzrFT5NH1VUs5XVWVVmPeIuv3gbhmPg7RWbuBsm2ra
K5LQLC0w6kHz6gnGo2IuqH8qvgWiABq4fTPOLe4CfsUuajQtj5ZHqyoxdZhIc6zKuXdr+9QZ82cW
1UwbU3mXBVF4spdhs+TDxYwQsjCYRByBLq5oo49kqTxUHs7H5MAZsFxQiHLwWsB+7W1Xl/yKmzOG
fdd3mrFCBd1AXGcvUKdigwBe8Al3YWVOM18xDbjfx3DeJkbwI6uCm6yZe8L2Oh2VQl+u7Z7+Fmf8
qTYLfbPodr0Pe9Si2OTRDx/HxMTnH5ivCZFCCljRgafR9DM+f/mp60H6UOqi2meDy9TZyCLCY/59
O/1j1Mdq929up4jr569GfXzVTzcTcz6Q6hCVdM+xGdb+djMpmhLub2IcdHhFP2G1hfELSQ5cSup6
ojFTrdo/byZAS1AhWTC56O3Ev6qpk1+jvD/cTAKInLrmbImED6TSn7oX9c3h1mQ3OucWjAqkJIYY
n0DDhruu1q6B9XDIQo1IMwZZzezu65mYJZegEWRM7mcJa4KYyQdKPdZnBh5Wcp4Y84ec3K61d7N+
a0OsIPFpj3Flk+ea8g3mPvPP11aCgVGwC2uKNi30i8hJznPXf7L03YyotIBGIHOGl1FP4jsGnV0I
rAjTSElCaZz3+wTKBmgato0hm00JVyLZQLuPVgZcDhvLrUPLNypgx9yIGBuw+ZYxlDB1/QX5m9w6
QdCvKwX8aIwsZP7F8knY7RFJ37B14YN0ihNiJZs0Su6DAaHUpFAiQzXh61I5aFBGRjvX9zk/3MnC
KLNmssaDWYAl4Xy79qzsg1S3ajezrEDnnlqAZ4OHJit5zPvJ1xXohFXsOVXokxigNaFoVYZe3MF1
PLEMd2ClMFlkrAk8JYSi0slGgzpd+JicbiMFWilc7wjuDo2U7M4eLJYaJgtJqrf0edqmV7iWGUm7
Dr/FUCAXzSxup6jIV4gpXhNYL3NbcS4p/AsxXvl6hgizQIbBdOGPChUDe9NhnxhfCSgyCTQZ5rr2
Plkm6JsKNRO1ZGQZ0Gd6KDRRws8fKjDNohA1diX2OMuqVaXwNTn2oBKejYYNagzZScdtTIYQuBsd
7k2sYwafFQqnLKIXmDR3UyOgLLlgehar34UKoFMrlE43e4B3E76O0FPPxwgkdnnZX5el+yxh8TgK
ypMqPI8Op8eA18P25aqJvfgAxcddSwX1ESY4J0+Bfoi86FYJ7J/AKhGSe1c1cD5KFuQ/IZwgPSlf
66TGT5KB4+3jxp9Ih7UVU2gcqBwMMEO1od+YYIcqOSryOdR2gERtUT322rAr2wJOZ7nFpOKheYqJ
IGkHD3sMIBZbEY5cfXhhy/rZDihRQSCNcTUTZ4eJq7DxFsy8K3BJJS04CJvh3gWkhES/Xi7dcA7Y
DM66dwin4toAvWSCYMrkcq31bKkH4EymKh37vlnT0S2+uTTkSVPf8AHFxmBrjANrWuFSEZ+KXFZr
xDc5om+asVwffjBNTP0pt5jUqo7IAh81ocAawUk5ydQfSq0mdVuxpoxCHiJFn1q+QFSs8uOVW3jT
TtOg2khFrCJGEDeWolg1kJ1DxbUqFeEqHwTCjk5sexxppTW8AIz8DjQ62ZSKjxVa483cJ0pZbyNd
69hpchwB1JJ9YbJmDrPuxNmjIiorBKpTjZqxyLuDLGgit1YP6/5x0FPX3UUkxux6gawxHOuCzDiH
vSCcsnAyNm6hCdJTBtNy94iC5gogGokjF/C4c3/v6bnR3Y9eo1mnfurx4UkgzC+kY5rDddpV+zKk
+KsSuvdSpIJ9qwxXNYl4RhPetZCwWcRPRyGKfttoDXJSzT5JZwKL7QpBfp79nZ1yyzDAxtaYiJdU
I20zGrB0GPpiH62SD3NasG/gv2MGlOW3KhBvsKnZULpQB6yl/oGqcwBNo6KDi9Fc6ToJjU1H+sec
Tue5av0p9pJtWmlnUTS3WtCfcrf8NsQjnF+L4hnJXWvgEgorma1bazpGM1kuI3t6p3qL05I0cOjl
nUlgHrZZqrluvNfN5BK03pWWzK9ZZP5YDJ1XCeWPdMjR9MW+thwZl5MdLBvCGpu7lMDQlR6RKD75
E8TiyDnrOEp8byrf8LsdIsvCIqJNNsSxBT6XmV9sR2WWS49ORNNuTW5Mf3TkwhCmPy/YJT2JNYXf
QrV3ipoxSql3O0sMnO2E5jiInDZLg4q7CLSHLvUXGT6bDcRvVyQBMm16Kjf1Rr65spIQ/mwtHopU
Yo/YJMThenQZM+VTNW5YvF9VLvYS10WSGhrOdTwW5z5z8vWErsgrQJvkLbVZ92Z7I27IIb2f6Xyo
IOnOAuA+a8DKj0FP2mfPrqnMymOipfyM/fLS11605anDtNch4ILWiom37D5bz3vkgN7qeCjTPOrY
jll7Kykf6wH6dIwWYgj1A/0cvpnqzpPle8xFt6KxvQi9OwnJc0dAe4Ai3mjWUm8OoYIjzt0YrkyJ
SDRK04OHyxcrIno116x3rYzHdSza6zTub6hEtoXZPQ052tkULZDoTT6AvZg2qZ4PYIUUNRCr0I40
zGgN17BkezPsCk0zdjYTyUPHL3RNeMe1XmFbQsR07Atawdpmsd5OjxlA781ccglyZG21GCiVNhqn
jDikNW5EFNY8aafQMG9sA8GY1iLh7wo9ZxtPCip2aRiGVh3gGrYOQsQ3UZ8w9i3DLTp6FCBxwAEn
x/2SmzwS0r0xCaFAMY3I1S6n7yBHni1ZE+jjfF+E9X2y9W3V2i9lGr4QhWP7nRUfgrx60Ut3b4nm
fmToZiXa2jLndK1nqBia8U1Ji3rH/PRS8kP6+HYxHCSynX5fCHWI48PmrI/W/y67/1F2Mx/5m7Ib
tno8l/1fjIT4up8Kb+SehsHYx/5nUNpPhTccJqJu/rFH/4kuINiegCmVOvUaoyRD/O5lofD2PLSo
CEyFjkuGKId/YSREKtufR0KCORXLfKDLlPESTeof1gZG0Ld92tjlzdToPGADIjFRiYFd6biPHE6i
YcZ3TP4UW3jSNE56llNUYpVKD+SxlS9xHrRnxl6w1Syrvk84OPZy6tvLmAbVR9UF+c7JWNRGmYP2
kHlHvK4YFDNEogi8aZu8u66TRLxqut1tjcCU7ponKYNtEBSXNKy8D1eL7uYpQ55jGNrRDKNxtwAo
fezcWbKMZHaDXqk/d23kYHgpwPg6vZZuDUkMmtXrTKGt1vwsZZ+9SPCm+1DiGCmqoH0biMPbQAGN
N5Al8dslZED20VDdjjTYGXj7LeuLyh/A4QPN1xBMfS8RcYuTUQTLPG27Mu13xtL12qcIvSS6gGpH
q1cHbdFcOxHlohMaU3QfJdjr3LFvyajiEHLGi0tMsr3SQ8EAiWDf0XWw/A0VIllJFRGfbA0P9Yqw
nvk9Qb1J3AThEx7Lmld7zKw3GNiyXHE3Fdswslmu9xgqurFccJRLKnwwgDpRx2zY45A85aAawnc+
SfEa4dfyFrTR8mnH00uj1dsijI//xd559baxrOn6ryyc+xY6h4szwDBKlCjJlmXLvmlQwZ1z7l9/
nqIkLwXae6+hgOEBtuZiY5asJlms+uoLb5AsejiJQk7TGejcS3nn0Z5QmmEZwfUm5NXDWZT1MBhq
B1Rxn2S4agSdFyyqpAZkV7QJiXVUfNMRADyJHeVaI0Af5xIcYF/u2okBnwNb7cq8sv0cCJ1UO9c4
hZjn+AjJM+bqiEWotZF9cSsZQlwbO7eS1UkrhD2tSd4nF3gVSbOyboH0S/Tz5l1cFPWsdwNoOlJW
nQCnTT9T/cJnIUv54RH3UAawwuuetO7MCvVwXZEgIiWJL1o3Yt9QRWP2fWx66ZTNC4zZwhiUCZZ7
Y49Jd53Cppw3Wc9EKujzS7+Ny2mKUno8S3W9rSZVpUNhQt4aVFtvVDNGX6jxeTBxML0k/Jr4P8V4
HPSd9okuKzhIOTOVhzzLx0Uh5gAOsX0CzcD4TwtEeYzFdCz+EIuzeJPuGEnr/NWLSExzXUHNBeno
R37gr0isHoGosPH0MjWN7gPh9rk5b2Mf5ihCk55+OZxExqrPzXng/LT0BYJKV4WitP6PIrH9emRM
c97C6dLGJQiKgMlgWuDpXgxwdSRyS3Ka4cKuvfLSCqk7AyW3brJYV1dDF0Xf4UtbCxtFszXtT3eC
qLpPw7Qdv1pOV1/5chYvx1EhejiZO7ekuoSLBbvaBikbx+DzW2GBZwgzPKyl+PvWlvUZUnugfjO6
l4gLr3oVe52q9utjJdciGDwyiI60c2fINCCHn1f9j8T3vRXj0BGjxTqc0QrEb4ahAs2N4aujFlNf
RCg3sVaNsPirM6k7TSNs/8qs66e9sALsY/mC+XhGEYssqWMWeKrjHEjTWRiba8jsyuEo8tswfMgH
pdNRrktm6JR4gpX33e89F1peixtJvgpR+Zz2YRqdqKPTTWswZZee4t3I0bAKGq1EVzX9ZGBEMQ/k
WlrWpjeuRq/RVr4P1jbW4lOEYKoTZsHODLctHYZwqs9bVXWPTaW1J9RP0apIcgbNWftpLAGF5jFY
4EYyRhy58eSKoFihSnEeaoTedmB1pIY7K4AvMMPdEsnBSqUfZXX5SeFXK9iRPwCgYbMYwzFjNBTO
FeQdfK8YaygPfGGkneUsluDSu6ZyHOoSWm6lN+2NdpnUkSsoS/mmzbxwjYroA6xKCFUI8TI6oM3b
0QBj+n1latanxPK0SdT3S7WNv6oggZwz3anBzal4ORbKZabaX2WvsmhfBCdozCx7ovDEKoy5C0+N
Fi5yprCTvHVVUZBbaXIKr//BMLJmUZndFRLR1FhUF9NIBtCcJAhqeM5xmmTLVjPOwt5Z55289BVG
0WPsKVPTNS/BPy1GL7hIxgC6fZ0sHD1Bxs4Y1gblcB5J1yAPuf97HfMjYPxj4/5I1PJW6xTye9++
661smRnDNYQGwQpDXSTLq0Rogw/JeRExjxD6IIhYCz4MeRnUGPRjzuDt55yKJIjOFJgPDZBbyp7c
cbWZhQf9mWeqwcl/EuPHYMyI8g/BuN6ACYs3TbUjNeYvfwVk+YhBqWXqhmo+uYv8CsgKjG2GpPqT
WwlZ6d8BWbZQ8sXPkT4mQCF+9RyQwQhptJExKQewitbBP/IkwSLybWpso9DHW7ABMhEJZd76y4As
2ZIWlX2cXTS0Ecc1piFGeK4gBaTOa9hTl9Aa2nqaxMa5gTQwmrd3OsnpvFSTL62CXS1uZ2eFWn4H
I7GKq/RzkASzWlKRZwrdNepEa0Db0TS1uqWntR5Cg9EZ2dK3MUwfYET3aFipVTeNzOyT4WF0noCx
8VGAbFw/mqlo/JMdhWuSz0lP+35Wam2q3CJHOcGnyosXnQeJ6ARCWhkgG2PWHoLmEjMjeStokGzF
Ddyt0IHZ5ieW0D4oLGdlbuUQtK00gruVSXAcUt6zMgyq72Hn0vBttURdtE0bjvBxwlOrQsV+GjtG
RWeiNDDF3bKP4XEg9ltsWckoUMFQBlF425iYIXdx+s0SNGaMlLFIFMRmGM65i02m1UF6DgX9meth
zfVTTFXUTCbQjubF6Mr4TSFc6bbXKixqqRxPaljVLY2PtO1OGLbNWljXfWcg24d6iw0fu4xVOsvB
Bo3mU2jZErYBzboRFG4LLrftQwAqHeVzi1gaEmxzQDXnNuxvVSsnidQd400F1Sk59mCJe056nsAa
b7LyVoZF7kCMVWGV0wuF9WIdu4p3YWKTNini/CqGh26lQsZEXnZG9bms6eP04ErhrScWyT88dseu
VrEgtkNAVZFj/Jni1KXDfNdgwNPaBJ0Eizqr1i4MedTGvpcw5q3GnuUw6FMUBsYsubBh1jNMPk9B
l1Uw7scuW7cw8FF3P0fagl4gvU4Y+qGL1xuM/VEzFg0Mfkh0S3A/P1QjXAAjXudafetlUP6FKoZn
MUspFYwUlKWNNoAiKNJAoOH2+zOUUs5LU0XWgPt2lK4N1AViAKKTGL2BPEpOKvQH7MBG2794YJpL
3yf+xjDlOpN9zLKkhZsbZxo6Bip6BnLY0ggelLMOpYOWNzF10D6I0EBw0UJgZIRzA0R6NBJIxU87
NBOyCkCBPZQPpaUi59N/LoW8guu1xidAPsvA7JBecHUMO9Xkoozl8AT6DQoNgZrh5SIKWrTligvZ
NM46hS3VOPpJzCB5WpgdN1Dl3A9efy73CaNPDfKS96kvanPWA7xt49iaaUXxow4Htp9mItjtLiES
DgtJc3/Q0153Tu8v7KT5gh8p9BsNwp1ew89G42qiwNmcaAlK3JJPOzRvpRTitrJ2df2zXsJ4BCXG
BKDnG6e4uAxzaVnpmC7SyzrOIWFhGWSFC3hJ6zpslpEL6hZWlsyUYc7u4NtSSaCcproswLBNU706
VTUuQX+owGdh9+VGZ1ohLRWGR4lZnOcqWjVdkdzlesKXMUoAlipM5tyBxarNT0ijnGR1qM3KLASk
FyHS647ITEiAzzOZ+bzqI+YXBvlZEsQMOmDOUMvd1JYOPE9NwG4n43mjaOs+Cu5NDRKiZKvHbp4i
Xyic0TEL+Wym6tfaMVcS5A9bauIFuhU5Y5hubTgKwGadCJBIMVq9eYpkS+E2E6YSxSJshrMMWMfE
1IKLKCquW7NBfMHvv3imwX7H+iOVkM+wows3ZmlAnMD8L8NrOFzpFGN2DGoNqTsbMzJA34DO9J+7
f3v3GxRHv7/7v5QBZqnD+4tf/Nmvi59yC+0WhQ6W4Ja8sfYxoStvLcqEpubTrc8kmgzBseBUq0DY
HfsV6YT/Lsvc0gxGZbjQ/6QMs7bY39eTaEwoYGerDv/DWxE42xdlGFOW3iyKKrlMlVzX15XaQDQZ
mgDGA6C8TnUYGFA5TaD239H4+DEKTX5IflfojjGXsm6HFofkHPn+0k0WhdDzr20S2ka3zmWh9c/p
weQnR+/DFU4AMNj8hZqbwB5z71wSfgHIStRTwvVFNdT3kkjCDae714XLgE922wjfgcwOTnvhRKA5
4Voi/yjlzJhlwq3Ar812VgsHA2soUYCAYYwLzm1LP2tMomEpY3sgYX/gd7WCoIV3bFn1eTpGDHaE
UYJRdN87fHLieoinYaRcaUZ949kgfBAvswkeGC54NEbnjGG5E4Qdg4IvA2D9jI49bFybAjNAbzgT
PWdmAFfAYouJTzu6V+VVIhsPep0sNdrVlY7Qm+hfl5I07Wlol07Nv3aOE7m8aahJsp7xXypa4LTC
nZAiIJuhynPHMOKuVKuLcgy+GXTPI6rnGVx9GuqGeSnxZunWd8eJH6BrVaPcN0qNtxii4KoKtPMm
l87HbateDlQiFe17o7CTk1ChQ2eI5j7Mk0vJQOi0EF5GhgSmi9HcaegDRwjFeKDwsHtEYHBuMzkw
K/qSHWxqh5mCnTErk3GTyQcd4eqosE/KPFWXDDrIdRhKlILwmA+xvYwsv5yFYnhhtm4/N8RAAwQ3
w4tBxcWy++oy84iZfZhyA1Q9RbtHcoplydS3V1VYPkxMVMrTSS+GKHo3DtjIlCeJZJTTUpXcJQfN
nXbYyGL7d+6LcQwWNrehVH5G1+MSKv2JFzK4MdVwqTPJSWr92FF6dA5H87pGWE1OvK/AtB5oqEgQ
mUhdDTEYasWIyGZWhEAfE0w1X7lW/k0S46S46q4lMWDiT4GuiaGTJqZPkop3rGoiQKlkPxOccqZB
lq/hB15EOvoo9dBT7TPWakhe572YdFkdPndSWNqg0gI8ZxmIdTW6qJFW9pvazcMZaDIX5CETNC0K
vzXRzIqDa6BvMTuQWRtnbUazjuSqtuplWlFsGx3tzV5R3amGeeuQdwwgkbtLwkCbjYz0wLf5wMAK
kizGfUGKEBu0MQRot7NAhoL4Dm2inp4le+1K11bSgIMG3C6JgWJmVXM0OsOZ71tzG99dtKN+olUF
OdTSf5aj/N1hPil38Xk+DFeqGFyCE/bnJgJ6ICOQa2yqTayPCXruJ1jxrfTGEUKfYhDao75jV/q0
tIefalX+8KTmtMvqTzEzVOT2ogVq57OR6armtP1UEQNXQ4xewwYkdyPGsWVd/8ylBF+vvhOAT2sT
FOUPpCpk5pSAYVQx2O0721zVjZi/GpKNhKh+Q9QtSM9QQW+ZDdfghcBqqwGij/ZpJQbIXtU0C39s
V2j7tVOVKbPp9xto0DDwxQC6Lqp4nouhdKUXx2YCthptBlL//qo2Cli/otfeA2tDcIj0OzVKDl3G
kbDNdVwiHZH1LjYiWsrAz+2nluRdua5+keXOlePqx1o/2Nj2COP0IUasFdAeDgkLBOTim7JDENPt
YBBQSwIqEQfbCL/hdUnnoe1QS3Y6FKtU/7ZPacc3erBou3RFQP886BlgCoS+0KxpPjEQUWkEGQhN
ieE9nPFpW2k6IEBa1na68l30SKMiRpSr/RQYOm0dRuFuoKEklZWk6l7M37btlWGG9vGYNrdVhiis
k5fuRE1Vf2qGhTT1RumnozNdwf49WDIi+JQO2a2pcbaL2LKnJGl4q6DGxwR5TM/lwoFEnhU3WFCK
sTOT5WRAylTDLmDio2E2y4jZRp7Ki5DW1yKus9vGgWGcs5Eo5BYDfcYJ3svwD6qknHaaFk3qHqA/
AyjWFDXNE2BGxw4+UYg84iGjZVgHNHp77Q/Rp447cVqH9L4Cg3GqYRlozkoD282GrNWEYsQqBj+5
NKLLRAMeP4IMy04LdV+5A/4TmdcGpghoLN0bmXGJefdDjwXlBMbMDeBBMlPmE1g5pmeKRrLKoH3N
/Y9lpZUey4pyUsd5Cb5SbeaRGEQBgI9PqrG41lQOfpxq3yTUoeqgvu+KeOG44TWXvXyK9DGmV7Zz
UgXeBRX8FxxzjzWp6iaY7vaigsFFjdmXC6zTSpEQy8RIDARjO6MJfBf0GUqXJf4QhejlD5n9WXGT
Ym7grwWNBbhxnmMI2saNeyKXw8aU2Ay136oLdEK+9CnIIduVVoHnbUpIRx76D8D2cxS4oHqnVn6Z
RcD7mYd4c0kx7vKQ+RASVd91GaWlsDAv5cb8mukmM524Px497Wco45+mtXDBVbWk2dun/sK0SMdr
s8JNOxvYfqFSQ/AcnEkxKt/Nqj13kKWdQ19JJqVE1PYHqIGhRTlnSuFGTtU1ekmobQRuiJdQfhqI
+QfCTMthRESr0QzEvOToOPTqfhrYaE7JgkBYqG46zcTkBNjgve+hKF3YXrloFU2eZknbztCUxs0M
NMUgmd9Qh1CgbuJNmhTSF7/srsHQAUANnGnWxTA7FQyHGrsGpJQBpdb9q9pESoxs/qTxmmqayM41
MJZLL8ZMXatqappcQuKLWf9UQ6+m96QYQdL0RCJzEhatMsIG1W3uJVAhuc9ZLa4QiBxYr+FhFzx0
gJOl3PxpyujPAKSdWYlAMzvRT0vgkAHK37VDeepwk08Gy7irWmuJJSuu7J6yclMtxX251ae9GX3z
kgQZqr5UpzZVCfq1SNjcyjbuSk6iA/iQsonShKvcoMTOmzA8VwM8lQtUhG07+u7hAouyW/hFwV5p
kjfSZysBGqXiu6w73beenAtFvxF4d56l86LWvOlg0CpNooKPo4O5t7sSA49MP7VBANv2IDRminjK
ufvJ6AHcC0I+c2CAC7ltbvKWo+uXyqfYS0WxqK01M0C900DzuonyK9A2BlwYRSO97InTZbru9RJF
K1NfKXZ9hxIIKjxB/a3ofWJQI1+PcbDqh/gLbOhk1lWEVEu+bQVGzUafAEACcnxI95/lVblI5d6e
0E2hcM3ljF0bPjhCC681AUz36cOYlKvRwX/Ro9ujqukNqqizmtFe3oJhr8jyrIjQhz4t+oBOZy0z
VIVmRWMt5b78afqkdFbW465LzteG1MgICdH+OXFdQDdRuoE7fRvWzYWuFyvs6ZWZh3QJKnXclFqB
l4r1ufeVeW/QpHaL7ArDsmOYvyBVJJru4WU9alMIAgBZNCivbjxHJu4MQthJE+TT2JBbNLxCBRFS
z1KjT3E6mjcDen72eSGhUvEpNuq8nQ22CSY8l1b/qUEfa1Cavn+oQZt4Uz7sKEH5q+cSFNNrx1Zk
akmVcg8Dh7/x0PhBwEOUbeDCCKG/Mn0wj0iIRLFpyM9Q6efes3Ek5oZohUF4xTECxMY/gGUg4fWm
98wLA/uQeQ+AP6hGKYVfVqF0G+WCOUpzPqJ0T7ek+cGE2RfaTRYd3Hg2lLFAmAbTIXPXQWl3M0Pp
qmmZtpdJlZ1YUH3I4VS8D9piVknBKWik9WAxw0N66UqWo/uWJBE5upZrRYIs5nbqOhtJZV3Z9KZJ
JThC8jccA3+olX6DXDTdVN/BDVTIzzjSuIh1SZqjNQzZHWlAy5NQ2cvDr4ad/siH7Lr1Ka2yGhli
1zS/lgVOCZCMakf65qbDqW8i5KwF6zbyz6Dm/6gym7TXsS5LzbiLUdiZJ3wwyCeBuYRLv2qU7Hsy
yAPG0hqI7pqSsYi7Y9xQrwc1L+de3S10HeadGmrdVO+CGB0E+77wkS+0Y/OsquMvHSXu1PaMuRHZ
n7PAuS8q5zIw4MqrYMkBY4T13O3AZuQtw8P0zq2z726By0yW3tHOgG8Xld68QST+uMLhAWjKcYAB
hh56P2IVgck8tvNZZyJi1eXZXac4AMmGepYM0Cpz+nCzQU8wgi0wDATXc1ZXjBV194zccDYGeUku
0S3kslt5jnPsqcbnYWx/Bnr4gB/RFy3wAAWPN4k3ookoACR8SY5cIrvQoXCFtnYxUfvC/GS21dp3
+p+0Y5FbZ6KXya48bUqE1FBE/KZ7xme9Hlx0I6Ivuqf+bFSzReZJ/LlBHo+z902CSlKVoZHD8IXc
owlm2AeHWBDH36H5RvQqGmgohoyoooUihsLEUGZEiXL2QrZQ4wdPsSxqH9GdKIein/OtJbXaTZl6
0wQBX12M9sIMKoi2FakF2dOKtgTzD/qOE3TOPlsxkjApTWquMtRr8H/wooCRcN2DShmrECEbdpwB
QGRqj2zioeI7TNTcm3fleJV5Ja+a2ty47cKVm6vR1lZBB+TdUvEargoXIZ44pA/cRHcoYN3YNLQm
lpnfykpWTtLMnZZd39MCCOD7lvDPJP9YTqVwJlnwSGU5W5ooNykyfk2VLDnHDDGGidbaD0lYnFG5
thPghfmcVsaJ6Q0D1iZQ37hUrrPCgMtbAs6sARNThNxWQtdaLhWEp8Z8vKTzpJ7qKa4CPaAE7yRW
HV+bRVH3TbWjsp2XUuUHX1kGt75Qawu6rBkY2sJ0Ezn9YlHfZDO9znE/wees8qfUBdYlTamAoWsR
+Jda0XvfA1TbqpgtNNF93T3PKxTPalxGbeQeZHqwvoU3qV/IlCPAWT/JsbRyvSLQ5r3FTJfkPkbn
yDar4qSxZJfSIehrFOFknEpm1aBNcYf5lGVmXyzlUFNvog5L4HWc5kIJNvbhv5nWnew1TchgayiR
wYAC5qBYG+lGgaC9anlf5NqKq++q23rc0NrIwIFCzHR/REbg62tZLRMJd+oel4L/XJeP1yU9zN9f
l18fUmTzNjvuS/7s131pH5ma0OChYYo098uW7fa+RJOFVqnDmPSlVJB+5Mg4IQFVdLaSl9yyz/el
dqTSyzXBzQhZBwG5+Qf3pbgNX/VsmfYKninaEQoaebqY5L7o2fay5LVlmXJbiouB2b5XIcDKlfJi
XS4fH/jSHE6REe98+0KwcXWdilNWVVl/cy0r0FgLM9RzDFsM5zryC9y/EysexmOmyHTdtDpt9JMK
+9irEFUxWiUKKtU2lkp5FuIyCHHoVLEEWo5JaX9Jrv1ZGzLMi8zBs6rTNgor7UdLILfh7RVtCxMP
7cJWbwO096QYS7UY6YggzzN1TpHUwKaUPBeRzsolMY4GZy5UQOVZld4Zsd6dW5hCXegNmO2pkqPJ
tsjcXpvGLea5cZVR8wZdpl3IrWJEZ20cXpR11KHOl/ak0peaIj8YVX6f4hUBMO+L1RbHaactDcnM
sHPgU6BFg7KZu3ASeBXJiTsg6axFjLmrUpnFQ/HTt/3PlJnnipr/bLT2KlY8jDD0MvxuRWAOHS9q
1pKVl6g3G+YqDgCMIHU8R70O6zhJ0n7qYQWB0kWbN62LfJ60bjEJYskAEGnjkeicVykTK4x8sdQN
RnVZp9b1oEg3sYrMaRb6kHrr2lNRTUKUgm2BDwfJWEB/TjyiVtH3M8vrUq+1fmbaqf+5gvM5b0CE
oN4k9zc6mqOsopqhExVR6ulSCSMG6m5h1ghHSCib/3mPqWK+8GYvCyYerpVkmiI7fb2Xi6EsPA8x
j3N8ITYdDZorhCgmEKMQS0sZMU+QH5oDqp2D7poYK32hzZmpTf+l/51AN/z9PqCjawKPRgpsiGQX
m4nX78PoUU9AyTo7x3FnNcR+P428wkXoTqdTa0XOvGhd+DOqyYXm2vLas0p3pfAdmVEBecsazh0X
ZJitjj/qPnMWlco4pK7zhWuPPyzDxXTSpfnBQPEb43KLLLIYplbFtBGLaXgDPh00w+/n8PiWnQIj
wEV3WrddoELO8agBtlfVpa4b6KfXaC8FDuqnSXpMw2SWgY+fILE/7zrvTIX9C2MF6nWLPGOShNWM
Q3zeYXu9LDyhL6l5116XHYPEXze9LQsh9KUcsdEsp6D7IodXf/6KXweRLdGfwgKmo+6Ae9GcN0HE
GQHz5olbnssttqEEgpgPj+WGFPhzI0OLSy88wvWviL4jcm21gF99mygFv3zNN9+m1IOTbiOvOi88
7bvhwmxBrRR5W+tYTxrUIxiDeyYmZxZCGkZMMU4TczgbywYhUMk4ywL7Rg4opRmT/+SuxmWlWKuZ
+Ul2xzvDK34kXVCg6l3kjyqC/x8ITjy9xZ3Whb9k7MRvt1aiX7J3/ob/1j96vvR2P+gfeSGKGvHX
nvj1vK0b4x+fE29ogjb3uC1iakjccRwwsKiT8ENMiDMQ4I+/Rt9CFQgr1LAVfsNrvVij363Cnz/g
e5vI98/5/Zt/mbIAW+XW/8efnw/498dHiMNAsorBr7z9IfS++vhkOkxlyDGYbG5/DmERRFNj67sp
hKcEVhohkf/JSvCcV0tBKmcDPtUePykx7NVSsBMQzgJsx5/972+Ed2vAlUVH5R/vhtdrQMrraLg+
EKe3P29PA9uBKxLRFusxv/5fPg27FuHx2/nbhHV7uv5RSKAZpkANQshs9yIIyRsODXpunJaD3AkC
RrLnTjCPgKluS5XHwKC9PQ0KPrEm5IGDPQ5P385+O0ERewAMzu7oqFLSkdWAziFYHOROEFifPXcC
JlMEPRAyHPnXAVEmGGxFah8vj0M9DULDY+81QElEpa6nES5+RNR8lSXgmmzLjiAUHuhGMB7f2L6n
QTGYHfxuEYRRGZImBIUDXQT58dbabxFU8T1zRf5mJwgeq41KjGiUHGZI2HsnAE20RKmuisxZ/LxL
lXTioq6RKj3exgeYJjwG7H12gn1kgeQ01Kd0UWSgb2MCNQU8CqHsys+hhkcB99wzPPJ1QxzRYAs+
7ocdaSN9VNwNBaHkMA/F4xvbZz8wKWUKSnx8qpTe7geRO9uoHdrKwUaG/YsocmchWIxU6dvTQB3N
+Blh+0MNCer+n94+QlhAHPmnanpH0iyLWTlI68efAz0Nyt6VJJoN4AKAu7/fCPoRIwDABkxAtj+H
ugb7X5PykU4ljbLbY6og8tC3N4TJrwXt71AXYf/yQT2ywE4aYtdvf94ugmIcGURNAx287e8P9ZpU
HpPafW4I40iDM09f4fGTiozg1X7ghhDNSAU5wEPdD/t3V9D3lVGhJw7+ioGvF8HmonBMKDKHmiso
+ydM5hHfMc1EnRbuUxB8vQi0XfkdHaaD3Qn7t5jY7UQFC7zZY2R4V1SreGIbChqZj6H48KqIp3O6
T0xwjlTgp+TOT/Xk2/BIsxH2jy4GZ4caE/YvpXScl1TkRp6Pw7v6wT5SdY02lNAe4edQ7whj/ztC
gDRV0CP6bwYyGMVr+HGiavv4Wod3KJ4GZfscCvOIbhuVgvV0KN5elCwCqu66zVDqQA+Ftv9FiQwP
wg58SnCx4odj9uqOIDKAMeL/SCkO+VA8fUf77AcOhTBFM+SnXsvb+MBoDjwzabQY3x5kf0Hgs/Zs
sjgMolWVJvRTf+HdIjCRATtD5DjUm0Ldu6zULERSkJ4C9rbd87tSaMfE6AExqcdTc6j7Ye/0STRh
cSq01ed5NTvsdXxQwS9SWhEpD3QRnq6wPSIDi8BFKSgD5uPXzdZ/vQjykQG2TKeoOtRF2P+msI40
GfcVJOsfF+FdZKARAWmV7OmwbwphHL9nkLSPnpSQnmZUfOuv9wPtCIW5NVHkUPfD/tUl2TIIjV/b
4V3mQJ8BrjytSiHtd5DXpega7r0TVCDSOtfl402xYyfQgaQbYz8ewMNLpJ865XuER40+gwYcHWXd
316XWFKjI/JUuRzeIgiJ4D13gsF0Cm0B+qy7F4FqwqQjB57nYI/D/oug0YZlMIEi8+47AnYgwnMy
iNlDLa6foBX7HAcRGFkEAWva/ryrKxnew+jAFOZQU2jhIrPncXCOHISFmFs/1RHv6krktplKIBx7
qHNKQV3dcxE02iyygW7P40Z4X0eQUwH2of96qDFBe0xo9zkOwmqPA0Gn5TEmvKsgyK5lVWaMd7DH
Yf9kiXEk0AXF5qLc/rzNEwiM9OMwkDrYjbB3Kaltk2LLYE73Jl3mwyvYJ7I6T1tke/AOMEvYP1/E
iHkrpUZe/PjzZinoMenYJhv2k1n0AS7C/uUTjTbabLrKJ915GOg54oZMi8l57Mweaq7wztD7n6PA
t50mC8Pup53/7pqEDqAik4s80YEeCn3/XEEXe170VX+PaULYRhPk0OdDw8V8eEdD3/uyBNAC6YFY
CB14+7NjWkmgRJPxqXY9wEXYP20iK2IKx8D2d50m5UhUk4wrDzV3fOd6/M8jA9MpS0ep5Lnn+PbS
5KYALc9lcrCNeHwb9k2gAfqZMpNIXDJ33xTyEb8kdlBNiZ+DDZL7l9YWWA1ExQ3zdzgGRviIqgub
jQO9KYy9bwrCIwAukzH+b24KwZ7jnoA29ZhaHOp+EOTz/WpLAX0E3UMe9XQn7sgcRN+RO/NgF2H/
kgImoQXEi8/5No9mbmWB5AAE+u+fhn/jMv3FPZ76QXy/pSbj2rkl/j1Sbv/lP3jm7b5/wAu66ZZ0
++pffhnyh8dnP5JSxf//X5t7zNpnQVWXwV2tbjOiF799zpC2r/T0908f8f2Lv3qx58/1/B+Pg4dy
U975w/YXw9MbPd8kcJv/O+Z/7je7ybJ/v5v/+39ev9kX+//PT0fH+eHtw0Wwf/5v4oP9Tx+ebO6z
8vlBzzRfHs6e2fudT5D63/XGyej2fvZ0E29avpLq+Vkv3js56P7PRyOweveVsjDc6B/w8LQuN39N
s53e2uIk7/0Ss4f4r/Os3Ln+1PB7P38e/zXLSjbP87NerD9xeO/nL8qHapfrliC27P3wZfyQps/P
efHG6Tzt/ezjJrnN4vv6+VF/P16A/fd+/EmSP5TBJn5+1IvHf8SRPUH2d8ejP+LEnj6UO9ZcwAX2
XpTTIPV2BAKBH9772WebaEcME9SiD3h0VT3sWpOPOKBnWfXXf6feQ/ywa2U+4oiuN/cE4Od1eLER
P+KIrje4Pex49kccUfHsPNsV3QVwau+vdf2Q3md3wa7oJajyH/D88u7h/vlBf6+74IDu//CM9/78
nBfP/ohjus52rslHnFIeXT+UD8OOd/4RJ/V8k+/Y6KIBtfeCnz+0m/e5I6aQH3FEL8oNIeD5Xb74
Oj/iiF7Gm7uHHbmjmO7vvSyXcZPsSu7EXHbvh38OSB2r4H7HyoiR597Pv9rclZQEab3jLhWA5Q94
gfSvyQPiobte4COO6tVGvECZbsr7nYFM+4hDK15kFjx4uz7ER5xa8fwFJ+AuqO52vcZHHF/xGqts
UzS7bivtI86weIWzJqj+urgNqnzX5/iIwyxeZb2pH3Y9/yPOM8+vN39NNuXtZlfOIEYoH3EqeI0p
Ct07grWYHn3UK5TN+Pywv2OqaHjv/wL+ZmdNKOYq+z+cHsbOpfmQw/xny/qtjNgejYqrP7kw7//w
NEt27ZkPOb//yrJ073cv2iw77mFBhdh7z3x58De7lkZ0svd/+B8d3fZdly9/0urf/+E0iJJdfTmB
8Nx7Zf4snLzvm/+exTvivPERd+735nbHQRKiSP9iTXa1ZX9NuN83a5/VHXf92etetPgXd/HDpvyv
/wcAAP//</cx:binary>
              </cx:geoCache>
            </cx:geography>
          </cx:layoutPr>
          <cx:valueColors>
            <cx:minColor>
              <a:srgbClr val="92D050"/>
            </cx:minColor>
          </cx:valueColors>
        </cx:series>
      </cx:plotAreaRegion>
    </cx:plotArea>
  </cx:chart>
  <cx:spPr>
    <a:solidFill>
      <a:schemeClr val="bg1">
        <a:lumMod val="8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hyperlink" Target="https://chandoo.org/wp/" TargetMode="Externa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image" Target="../media/image3.emf"/><Relationship Id="rId10" Type="http://schemas.microsoft.com/office/2014/relationships/chartEx" Target="../charts/chartEx2.xml"/><Relationship Id="rId4" Type="http://schemas.openxmlformats.org/officeDocument/2006/relationships/chart" Target="../charts/chart1.xml"/><Relationship Id="rId9"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936750" y="0"/>
          <a:ext cx="13112750" cy="8191500"/>
        </a:xfrm>
        <a:prstGeom prst="rect">
          <a:avLst/>
        </a:prstGeom>
        <a:solidFill>
          <a:schemeClr val="tx2">
            <a:lumMod val="60000"/>
            <a:lumOff val="4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981200" cy="7863840"/>
        </a:xfrm>
        <a:prstGeom prst="rect">
          <a:avLst/>
        </a:prstGeom>
        <a:solidFill>
          <a:schemeClr val="tx1">
            <a:lumMod val="95000"/>
            <a:lumOff val="5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t>          </a:t>
          </a:r>
          <a:endParaRPr lang="en-ZA"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ZA"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ZA"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ZA"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ZA" sz="1100" baseline="0">
              <a:solidFill>
                <a:schemeClr val="lt1"/>
              </a:solidFill>
              <a:effectLst/>
              <a:latin typeface="+mn-lt"/>
              <a:ea typeface="+mn-ea"/>
              <a:cs typeface="+mn-cs"/>
            </a:rPr>
            <a:t>          </a:t>
          </a:r>
          <a:endParaRPr lang="en-ZA">
            <a:effectLst/>
          </a:endParaRPr>
        </a:p>
        <a:p>
          <a:pPr algn="l"/>
          <a:endParaRPr lang="en-US" sz="1100"/>
        </a:p>
      </xdr:txBody>
    </xdr:sp>
    <xdr:clientData/>
  </xdr:twoCellAnchor>
  <xdr:twoCellAnchor editAs="oneCell">
    <xdr:from>
      <xdr:col>0</xdr:col>
      <xdr:colOff>206339</xdr:colOff>
      <xdr:row>0</xdr:row>
      <xdr:rowOff>101429</xdr:rowOff>
    </xdr:from>
    <xdr:to>
      <xdr:col>2</xdr:col>
      <xdr:colOff>0</xdr:colOff>
      <xdr:row>3</xdr:row>
      <xdr:rowOff>13607</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494554" cy="483678"/>
        </a:xfrm>
        <a:prstGeom prst="rect">
          <a:avLst/>
        </a:prstGeom>
      </xdr:spPr>
    </xdr:pic>
    <xdr:clientData/>
  </xdr:twoCellAnchor>
  <xdr:twoCellAnchor editAs="oneCell">
    <xdr:from>
      <xdr:col>22</xdr:col>
      <xdr:colOff>304800</xdr:colOff>
      <xdr:row>1</xdr:row>
      <xdr:rowOff>0</xdr:rowOff>
    </xdr:from>
    <xdr:to>
      <xdr:col>25</xdr:col>
      <xdr:colOff>0</xdr:colOff>
      <xdr:row>1</xdr:row>
      <xdr:rowOff>163079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xdr:from>
      <xdr:col>1</xdr:col>
      <xdr:colOff>38100</xdr:colOff>
      <xdr:row>5</xdr:row>
      <xdr:rowOff>68792</xdr:rowOff>
    </xdr:from>
    <xdr:to>
      <xdr:col>1</xdr:col>
      <xdr:colOff>1333500</xdr:colOff>
      <xdr:row>7</xdr:row>
      <xdr:rowOff>116417</xdr:rowOff>
    </xdr:to>
    <xdr:sp macro="" textlink="Pivots!G3">
      <xdr:nvSpPr>
        <xdr:cNvPr id="5" name="TextBox 4">
          <a:extLst>
            <a:ext uri="{FF2B5EF4-FFF2-40B4-BE49-F238E27FC236}">
              <a16:creationId xmlns:a16="http://schemas.microsoft.com/office/drawing/2014/main" id="{90903839-E721-1B1F-D39A-CA4DCE109F1E}"/>
            </a:ext>
          </a:extLst>
        </xdr:cNvPr>
        <xdr:cNvSpPr txBox="1"/>
      </xdr:nvSpPr>
      <xdr:spPr>
        <a:xfrm>
          <a:off x="257175" y="1021292"/>
          <a:ext cx="1295400" cy="42862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861451-E96A-4B9F-9BA0-E3B6270FAD21}" type="TxLink">
            <a:rPr lang="en-US"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rPr>
            <a:pPr marL="0" indent="0"/>
            <a:t>2 400</a:t>
          </a:fld>
          <a:endParaRPr lang="en-ZA"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endParaRPr>
        </a:p>
      </xdr:txBody>
    </xdr:sp>
    <xdr:clientData/>
  </xdr:twoCellAnchor>
  <xdr:twoCellAnchor>
    <xdr:from>
      <xdr:col>1</xdr:col>
      <xdr:colOff>38100</xdr:colOff>
      <xdr:row>8</xdr:row>
      <xdr:rowOff>149226</xdr:rowOff>
    </xdr:from>
    <xdr:to>
      <xdr:col>1</xdr:col>
      <xdr:colOff>1333500</xdr:colOff>
      <xdr:row>11</xdr:row>
      <xdr:rowOff>6351</xdr:rowOff>
    </xdr:to>
    <xdr:sp macro="" textlink="Pivots!H3">
      <xdr:nvSpPr>
        <xdr:cNvPr id="7" name="TextBox 6">
          <a:extLst>
            <a:ext uri="{FF2B5EF4-FFF2-40B4-BE49-F238E27FC236}">
              <a16:creationId xmlns:a16="http://schemas.microsoft.com/office/drawing/2014/main" id="{D454F878-3ECE-43E3-8BF3-502C1218F017}"/>
            </a:ext>
          </a:extLst>
        </xdr:cNvPr>
        <xdr:cNvSpPr txBox="1"/>
      </xdr:nvSpPr>
      <xdr:spPr>
        <a:xfrm>
          <a:off x="257175" y="1673226"/>
          <a:ext cx="1295400" cy="42862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3ABC9E-7343-4056-9E10-2143655FB359}" type="TxLink">
            <a:rPr lang="en-US"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rPr>
            <a:pPr marL="0" indent="0"/>
            <a:t>11 997</a:t>
          </a:fld>
          <a:endParaRPr lang="en-ZA"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endParaRPr>
        </a:p>
      </xdr:txBody>
    </xdr:sp>
    <xdr:clientData/>
  </xdr:twoCellAnchor>
  <xdr:twoCellAnchor>
    <xdr:from>
      <xdr:col>1</xdr:col>
      <xdr:colOff>38100</xdr:colOff>
      <xdr:row>15</xdr:row>
      <xdr:rowOff>119594</xdr:rowOff>
    </xdr:from>
    <xdr:to>
      <xdr:col>1</xdr:col>
      <xdr:colOff>1333500</xdr:colOff>
      <xdr:row>17</xdr:row>
      <xdr:rowOff>167219</xdr:rowOff>
    </xdr:to>
    <xdr:sp macro="" textlink="Pivots!J3">
      <xdr:nvSpPr>
        <xdr:cNvPr id="9" name="TextBox 8">
          <a:extLst>
            <a:ext uri="{FF2B5EF4-FFF2-40B4-BE49-F238E27FC236}">
              <a16:creationId xmlns:a16="http://schemas.microsoft.com/office/drawing/2014/main" id="{B429A393-52CC-4EC5-864A-62C8AFD457EC}"/>
            </a:ext>
          </a:extLst>
        </xdr:cNvPr>
        <xdr:cNvSpPr txBox="1"/>
      </xdr:nvSpPr>
      <xdr:spPr>
        <a:xfrm>
          <a:off x="257175" y="2977094"/>
          <a:ext cx="1295400" cy="42862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EDA8EE-EB49-4D58-96C8-DF421A42157A}" type="TxLink">
            <a:rPr lang="en-US"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rPr>
            <a:pPr marL="0" indent="0"/>
            <a:t>4</a:t>
          </a:fld>
          <a:endParaRPr lang="en-ZA"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endParaRPr>
        </a:p>
      </xdr:txBody>
    </xdr:sp>
    <xdr:clientData/>
  </xdr:twoCellAnchor>
  <xdr:twoCellAnchor>
    <xdr:from>
      <xdr:col>1</xdr:col>
      <xdr:colOff>38100</xdr:colOff>
      <xdr:row>12</xdr:row>
      <xdr:rowOff>39160</xdr:rowOff>
    </xdr:from>
    <xdr:to>
      <xdr:col>1</xdr:col>
      <xdr:colOff>1333500</xdr:colOff>
      <xdr:row>14</xdr:row>
      <xdr:rowOff>86785</xdr:rowOff>
    </xdr:to>
    <xdr:sp macro="" textlink="Pivots!I3">
      <xdr:nvSpPr>
        <xdr:cNvPr id="11" name="TextBox 10">
          <a:extLst>
            <a:ext uri="{FF2B5EF4-FFF2-40B4-BE49-F238E27FC236}">
              <a16:creationId xmlns:a16="http://schemas.microsoft.com/office/drawing/2014/main" id="{3ACB679D-CC0F-42B6-AE81-E951AB828121}"/>
            </a:ext>
          </a:extLst>
        </xdr:cNvPr>
        <xdr:cNvSpPr txBox="1"/>
      </xdr:nvSpPr>
      <xdr:spPr>
        <a:xfrm>
          <a:off x="257175" y="2325160"/>
          <a:ext cx="1295400" cy="42862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1819A5C-1B95-4E85-8062-7B5DFB6E62B7}" type="TxLink">
            <a:rPr lang="en-US" sz="1800" b="1" i="0" u="none" strike="noStrike" cap="none" spc="0">
              <a:ln w="0"/>
              <a:gradFill>
                <a:gsLst>
                  <a:gs pos="36000">
                    <a:srgbClr val="FFC000"/>
                  </a:gs>
                  <a:gs pos="86000">
                    <a:schemeClr val="bg1"/>
                  </a:gs>
                </a:gsLst>
                <a:lin ang="5400000"/>
              </a:gradFill>
              <a:effectLst/>
              <a:latin typeface="Aptos Narrow"/>
              <a:ea typeface="+mn-ea"/>
              <a:cs typeface="+mn-cs"/>
            </a:rPr>
            <a:pPr marL="0" indent="0"/>
            <a:t>R649 020</a:t>
          </a:fld>
          <a:endParaRPr lang="en-ZA" sz="1800" b="1" i="0" u="none" strike="noStrike" cap="none" spc="0">
            <a:ln w="0"/>
            <a:gradFill>
              <a:gsLst>
                <a:gs pos="36000">
                  <a:srgbClr val="FFC000"/>
                </a:gs>
                <a:gs pos="86000">
                  <a:schemeClr val="bg1"/>
                </a:gs>
              </a:gsLst>
              <a:lin ang="5400000"/>
            </a:gradFill>
            <a:effectLst/>
            <a:latin typeface="Aptos Narrow"/>
            <a:ea typeface="+mn-ea"/>
            <a:cs typeface="+mn-cs"/>
          </a:endParaRPr>
        </a:p>
      </xdr:txBody>
    </xdr:sp>
    <xdr:clientData/>
  </xdr:twoCellAnchor>
  <xdr:twoCellAnchor>
    <xdr:from>
      <xdr:col>1</xdr:col>
      <xdr:colOff>38100</xdr:colOff>
      <xdr:row>19</xdr:row>
      <xdr:rowOff>9525</xdr:rowOff>
    </xdr:from>
    <xdr:to>
      <xdr:col>1</xdr:col>
      <xdr:colOff>1333500</xdr:colOff>
      <xdr:row>21</xdr:row>
      <xdr:rowOff>57150</xdr:rowOff>
    </xdr:to>
    <xdr:sp macro="" textlink="Pivots!K3">
      <xdr:nvSpPr>
        <xdr:cNvPr id="12" name="TextBox 11">
          <a:extLst>
            <a:ext uri="{FF2B5EF4-FFF2-40B4-BE49-F238E27FC236}">
              <a16:creationId xmlns:a16="http://schemas.microsoft.com/office/drawing/2014/main" id="{E1F07DD1-7A75-4061-BAEC-F77D8951F023}"/>
            </a:ext>
          </a:extLst>
        </xdr:cNvPr>
        <xdr:cNvSpPr txBox="1"/>
      </xdr:nvSpPr>
      <xdr:spPr>
        <a:xfrm>
          <a:off x="257175" y="3629025"/>
          <a:ext cx="1295400" cy="42862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217F9F-5D50-49CD-9CF1-05CB1579B5C8}" type="TxLink">
            <a:rPr lang="en-US"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rPr>
            <a:pPr marL="0" indent="0"/>
            <a:t>2</a:t>
          </a:fld>
          <a:endParaRPr lang="en-ZA" sz="1800" b="1" i="0" u="none" strike="noStrike" cap="none" spc="0">
            <a:ln w="0"/>
            <a:gradFill>
              <a:gsLst>
                <a:gs pos="36000">
                  <a:schemeClr val="bg1"/>
                </a:gs>
                <a:gs pos="86000">
                  <a:schemeClr val="accent1">
                    <a:lumMod val="75000"/>
                  </a:schemeClr>
                </a:gs>
              </a:gsLst>
              <a:lin ang="5400000"/>
            </a:gradFill>
            <a:effectLst/>
            <a:latin typeface="Aptos Narrow"/>
            <a:ea typeface="+mn-ea"/>
            <a:cs typeface="+mn-cs"/>
          </a:endParaRPr>
        </a:p>
      </xdr:txBody>
    </xdr:sp>
    <xdr:clientData/>
  </xdr:twoCellAnchor>
  <xdr:twoCellAnchor>
    <xdr:from>
      <xdr:col>1</xdr:col>
      <xdr:colOff>38100</xdr:colOff>
      <xdr:row>4</xdr:row>
      <xdr:rowOff>19050</xdr:rowOff>
    </xdr:from>
    <xdr:to>
      <xdr:col>1</xdr:col>
      <xdr:colOff>1428750</xdr:colOff>
      <xdr:row>5</xdr:row>
      <xdr:rowOff>85725</xdr:rowOff>
    </xdr:to>
    <xdr:sp macro="" textlink="">
      <xdr:nvSpPr>
        <xdr:cNvPr id="13" name="TextBox 12">
          <a:extLst>
            <a:ext uri="{FF2B5EF4-FFF2-40B4-BE49-F238E27FC236}">
              <a16:creationId xmlns:a16="http://schemas.microsoft.com/office/drawing/2014/main" id="{C22696E8-AA1D-86F1-0209-5AF745605AC6}"/>
            </a:ext>
          </a:extLst>
        </xdr:cNvPr>
        <xdr:cNvSpPr txBox="1"/>
      </xdr:nvSpPr>
      <xdr:spPr>
        <a:xfrm>
          <a:off x="257175" y="781050"/>
          <a:ext cx="1390650" cy="25717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ZA" sz="1100" b="0" i="0" u="none" strike="noStrike" cap="none" spc="0">
              <a:ln w="0"/>
              <a:solidFill>
                <a:schemeClr val="accent4">
                  <a:lumMod val="40000"/>
                  <a:lumOff val="60000"/>
                </a:schemeClr>
              </a:solidFill>
              <a:effectLst/>
              <a:latin typeface="Aptos Narrow"/>
              <a:ea typeface="+mn-ea"/>
              <a:cs typeface="+mn-cs"/>
            </a:rPr>
            <a:t>🛒Orders</a:t>
          </a:r>
        </a:p>
      </xdr:txBody>
    </xdr:sp>
    <xdr:clientData/>
  </xdr:twoCellAnchor>
  <xdr:twoCellAnchor>
    <xdr:from>
      <xdr:col>1</xdr:col>
      <xdr:colOff>38100</xdr:colOff>
      <xdr:row>7</xdr:row>
      <xdr:rowOff>99484</xdr:rowOff>
    </xdr:from>
    <xdr:to>
      <xdr:col>1</xdr:col>
      <xdr:colOff>1428750</xdr:colOff>
      <xdr:row>8</xdr:row>
      <xdr:rowOff>166159</xdr:rowOff>
    </xdr:to>
    <xdr:sp macro="" textlink="">
      <xdr:nvSpPr>
        <xdr:cNvPr id="15" name="TextBox 14">
          <a:extLst>
            <a:ext uri="{FF2B5EF4-FFF2-40B4-BE49-F238E27FC236}">
              <a16:creationId xmlns:a16="http://schemas.microsoft.com/office/drawing/2014/main" id="{C2C01541-A20F-4DDD-A870-E6333AE42F6B}"/>
            </a:ext>
          </a:extLst>
        </xdr:cNvPr>
        <xdr:cNvSpPr txBox="1"/>
      </xdr:nvSpPr>
      <xdr:spPr>
        <a:xfrm>
          <a:off x="257175" y="1432984"/>
          <a:ext cx="1390650" cy="25717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ZA" sz="1100" b="0" i="0" u="none" strike="noStrike" cap="none" spc="0">
              <a:ln w="0"/>
              <a:solidFill>
                <a:schemeClr val="accent4">
                  <a:lumMod val="40000"/>
                  <a:lumOff val="60000"/>
                </a:schemeClr>
              </a:solidFill>
              <a:effectLst/>
              <a:latin typeface="Aptos Narrow"/>
              <a:ea typeface="+mn-ea"/>
              <a:cs typeface="+mn-cs"/>
            </a:rPr>
            <a:t>👕Quantity</a:t>
          </a:r>
        </a:p>
      </xdr:txBody>
    </xdr:sp>
    <xdr:clientData/>
  </xdr:twoCellAnchor>
  <xdr:twoCellAnchor>
    <xdr:from>
      <xdr:col>1</xdr:col>
      <xdr:colOff>38100</xdr:colOff>
      <xdr:row>10</xdr:row>
      <xdr:rowOff>179918</xdr:rowOff>
    </xdr:from>
    <xdr:to>
      <xdr:col>1</xdr:col>
      <xdr:colOff>1428750</xdr:colOff>
      <xdr:row>12</xdr:row>
      <xdr:rowOff>56093</xdr:rowOff>
    </xdr:to>
    <xdr:sp macro="" textlink="">
      <xdr:nvSpPr>
        <xdr:cNvPr id="16" name="TextBox 15">
          <a:extLst>
            <a:ext uri="{FF2B5EF4-FFF2-40B4-BE49-F238E27FC236}">
              <a16:creationId xmlns:a16="http://schemas.microsoft.com/office/drawing/2014/main" id="{50E1CB7C-314B-419E-B0F8-9C0178ADFBB3}"/>
            </a:ext>
          </a:extLst>
        </xdr:cNvPr>
        <xdr:cNvSpPr txBox="1"/>
      </xdr:nvSpPr>
      <xdr:spPr>
        <a:xfrm>
          <a:off x="257175" y="2084918"/>
          <a:ext cx="1390650" cy="25717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ZA" sz="1100" b="0" i="0" u="none" strike="noStrike" cap="none" spc="0">
              <a:ln w="0"/>
              <a:solidFill>
                <a:schemeClr val="accent4">
                  <a:lumMod val="40000"/>
                  <a:lumOff val="60000"/>
                </a:schemeClr>
              </a:solidFill>
              <a:effectLst/>
              <a:latin typeface="Aptos Narrow"/>
              <a:ea typeface="+mn-ea"/>
              <a:cs typeface="+mn-cs"/>
            </a:rPr>
            <a:t>💰Amount</a:t>
          </a:r>
        </a:p>
      </xdr:txBody>
    </xdr:sp>
    <xdr:clientData/>
  </xdr:twoCellAnchor>
  <xdr:twoCellAnchor>
    <xdr:from>
      <xdr:col>1</xdr:col>
      <xdr:colOff>38100</xdr:colOff>
      <xdr:row>14</xdr:row>
      <xdr:rowOff>69852</xdr:rowOff>
    </xdr:from>
    <xdr:to>
      <xdr:col>1</xdr:col>
      <xdr:colOff>1428750</xdr:colOff>
      <xdr:row>15</xdr:row>
      <xdr:rowOff>136527</xdr:rowOff>
    </xdr:to>
    <xdr:sp macro="" textlink="">
      <xdr:nvSpPr>
        <xdr:cNvPr id="17" name="TextBox 16">
          <a:extLst>
            <a:ext uri="{FF2B5EF4-FFF2-40B4-BE49-F238E27FC236}">
              <a16:creationId xmlns:a16="http://schemas.microsoft.com/office/drawing/2014/main" id="{58A19F61-FF72-40F2-9EC9-B2F549E78085}"/>
            </a:ext>
          </a:extLst>
        </xdr:cNvPr>
        <xdr:cNvSpPr txBox="1"/>
      </xdr:nvSpPr>
      <xdr:spPr>
        <a:xfrm>
          <a:off x="257175" y="2736852"/>
          <a:ext cx="1390650" cy="25717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ZA" sz="1100" b="0" i="0" u="none" strike="noStrike" cap="none" spc="0">
              <a:ln w="0"/>
              <a:solidFill>
                <a:schemeClr val="accent4">
                  <a:lumMod val="40000"/>
                  <a:lumOff val="60000"/>
                </a:schemeClr>
              </a:solidFill>
              <a:effectLst/>
              <a:latin typeface="Aptos Narrow"/>
              <a:ea typeface="+mn-ea"/>
              <a:cs typeface="+mn-cs"/>
            </a:rPr>
            <a:t>⭐Avg.</a:t>
          </a:r>
          <a:r>
            <a:rPr lang="en-ZA" sz="1100" b="0" i="0" u="none" strike="noStrike" cap="none" spc="0" baseline="0">
              <a:ln w="0"/>
              <a:solidFill>
                <a:schemeClr val="accent4">
                  <a:lumMod val="40000"/>
                  <a:lumOff val="60000"/>
                </a:schemeClr>
              </a:solidFill>
              <a:effectLst/>
              <a:latin typeface="Aptos Narrow"/>
              <a:ea typeface="+mn-ea"/>
              <a:cs typeface="+mn-cs"/>
            </a:rPr>
            <a:t> Rating</a:t>
          </a:r>
          <a:endParaRPr lang="en-ZA" sz="1100" b="0" i="0" u="none" strike="noStrike" cap="none" spc="0">
            <a:ln w="0"/>
            <a:solidFill>
              <a:schemeClr val="accent4">
                <a:lumMod val="40000"/>
                <a:lumOff val="60000"/>
              </a:schemeClr>
            </a:solidFill>
            <a:effectLst/>
            <a:latin typeface="Aptos Narrow"/>
            <a:ea typeface="+mn-ea"/>
            <a:cs typeface="+mn-cs"/>
          </a:endParaRPr>
        </a:p>
      </xdr:txBody>
    </xdr:sp>
    <xdr:clientData/>
  </xdr:twoCellAnchor>
  <xdr:twoCellAnchor>
    <xdr:from>
      <xdr:col>1</xdr:col>
      <xdr:colOff>38100</xdr:colOff>
      <xdr:row>17</xdr:row>
      <xdr:rowOff>150286</xdr:rowOff>
    </xdr:from>
    <xdr:to>
      <xdr:col>1</xdr:col>
      <xdr:colOff>1428750</xdr:colOff>
      <xdr:row>19</xdr:row>
      <xdr:rowOff>26461</xdr:rowOff>
    </xdr:to>
    <xdr:sp macro="" textlink="">
      <xdr:nvSpPr>
        <xdr:cNvPr id="18" name="TextBox 17">
          <a:extLst>
            <a:ext uri="{FF2B5EF4-FFF2-40B4-BE49-F238E27FC236}">
              <a16:creationId xmlns:a16="http://schemas.microsoft.com/office/drawing/2014/main" id="{34787072-E5AC-416E-A803-169F16F5AAEC}"/>
            </a:ext>
          </a:extLst>
        </xdr:cNvPr>
        <xdr:cNvSpPr txBox="1"/>
      </xdr:nvSpPr>
      <xdr:spPr>
        <a:xfrm>
          <a:off x="257175" y="3388786"/>
          <a:ext cx="1390650" cy="257175"/>
        </a:xfrm>
        <a:prstGeom prst="rect">
          <a:avLst/>
        </a:prstGeom>
        <a:noFill/>
        <a:ln>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ZA" sz="1100" b="0" i="0" u="none" strike="noStrike" cap="none" spc="0">
              <a:ln w="0"/>
              <a:solidFill>
                <a:schemeClr val="accent4">
                  <a:lumMod val="40000"/>
                  <a:lumOff val="60000"/>
                </a:schemeClr>
              </a:solidFill>
              <a:effectLst/>
              <a:latin typeface="Aptos Narrow"/>
              <a:ea typeface="+mn-ea"/>
              <a:cs typeface="+mn-cs"/>
            </a:rPr>
            <a:t>📅Days</a:t>
          </a:r>
          <a:r>
            <a:rPr lang="en-ZA" sz="1100" b="0" i="0" u="none" strike="noStrike" cap="none" spc="0" baseline="0">
              <a:ln w="0"/>
              <a:solidFill>
                <a:schemeClr val="accent4">
                  <a:lumMod val="40000"/>
                  <a:lumOff val="60000"/>
                </a:schemeClr>
              </a:solidFill>
              <a:effectLst/>
              <a:latin typeface="Aptos Narrow"/>
              <a:ea typeface="+mn-ea"/>
              <a:cs typeface="+mn-cs"/>
            </a:rPr>
            <a:t> to Deliver</a:t>
          </a:r>
          <a:endParaRPr lang="en-ZA" sz="1100" b="0" i="0" u="none" strike="noStrike" cap="none" spc="0">
            <a:ln w="0"/>
            <a:solidFill>
              <a:schemeClr val="accent4">
                <a:lumMod val="40000"/>
                <a:lumOff val="60000"/>
              </a:schemeClr>
            </a:solidFill>
            <a:effectLst/>
            <a:latin typeface="Aptos Narrow"/>
            <a:ea typeface="+mn-ea"/>
            <a:cs typeface="+mn-cs"/>
          </a:endParaRPr>
        </a:p>
      </xdr:txBody>
    </xdr:sp>
    <xdr:clientData/>
  </xdr:twoCellAnchor>
  <xdr:twoCellAnchor>
    <xdr:from>
      <xdr:col>4</xdr:col>
      <xdr:colOff>28575</xdr:colOff>
      <xdr:row>0</xdr:row>
      <xdr:rowOff>95250</xdr:rowOff>
    </xdr:from>
    <xdr:to>
      <xdr:col>11</xdr:col>
      <xdr:colOff>333375</xdr:colOff>
      <xdr:row>14</xdr:row>
      <xdr:rowOff>104775</xdr:rowOff>
    </xdr:to>
    <xdr:graphicFrame macro="">
      <xdr:nvGraphicFramePr>
        <xdr:cNvPr id="19" name="Chart 18">
          <a:extLst>
            <a:ext uri="{FF2B5EF4-FFF2-40B4-BE49-F238E27FC236}">
              <a16:creationId xmlns:a16="http://schemas.microsoft.com/office/drawing/2014/main" id="{D6FF6557-EA8F-48ED-982D-BA67A6FFB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465667</xdr:colOff>
      <xdr:row>0</xdr:row>
      <xdr:rowOff>114300</xdr:rowOff>
    </xdr:from>
    <xdr:to>
      <xdr:col>18</xdr:col>
      <xdr:colOff>341842</xdr:colOff>
      <xdr:row>14</xdr:row>
      <xdr:rowOff>114300</xdr:rowOff>
    </xdr:to>
    <xdr:sp macro="" textlink="">
      <xdr:nvSpPr>
        <xdr:cNvPr id="34" name="Rectangle 33">
          <a:extLst>
            <a:ext uri="{FF2B5EF4-FFF2-40B4-BE49-F238E27FC236}">
              <a16:creationId xmlns:a16="http://schemas.microsoft.com/office/drawing/2014/main" id="{4280D082-4FF0-F869-59C2-272A49434A22}"/>
            </a:ext>
          </a:extLst>
        </xdr:cNvPr>
        <xdr:cNvSpPr/>
      </xdr:nvSpPr>
      <xdr:spPr>
        <a:xfrm>
          <a:off x="6910917" y="114300"/>
          <a:ext cx="4173008" cy="2667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mc:AlternateContent xmlns:mc="http://schemas.openxmlformats.org/markup-compatibility/2006">
    <mc:Choice xmlns:a14="http://schemas.microsoft.com/office/drawing/2010/main" Requires="a14">
      <xdr:twoCellAnchor editAs="oneCell">
        <xdr:from>
          <xdr:col>12</xdr:col>
          <xdr:colOff>257174</xdr:colOff>
          <xdr:row>3</xdr:row>
          <xdr:rowOff>0</xdr:rowOff>
        </xdr:from>
        <xdr:to>
          <xdr:col>17</xdr:col>
          <xdr:colOff>571499</xdr:colOff>
          <xdr:row>12</xdr:row>
          <xdr:rowOff>108857</xdr:rowOff>
        </xdr:to>
        <xdr:pic>
          <xdr:nvPicPr>
            <xdr:cNvPr id="33" name="Picture 32">
              <a:extLst>
                <a:ext uri="{FF2B5EF4-FFF2-40B4-BE49-F238E27FC236}">
                  <a16:creationId xmlns:a16="http://schemas.microsoft.com/office/drawing/2014/main" id="{5B911067-2A72-8343-713C-D1E8D65FFF3B}"/>
                </a:ext>
              </a:extLst>
            </xdr:cNvPr>
            <xdr:cNvPicPr>
              <a:picLocks noChangeAspect="1" noChangeArrowheads="1"/>
              <a:extLst>
                <a:ext uri="{84589F7E-364E-4C9E-8A38-B11213B215E9}">
                  <a14:cameraTool cellRange="Sheet4!$H$4:$L$9" spid="_x0000_s1061"/>
                </a:ext>
              </a:extLst>
            </xdr:cNvPicPr>
          </xdr:nvPicPr>
          <xdr:blipFill>
            <a:blip xmlns:r="http://schemas.openxmlformats.org/officeDocument/2006/relationships" r:embed="rId5"/>
            <a:srcRect/>
            <a:stretch>
              <a:fillRect/>
            </a:stretch>
          </xdr:blipFill>
          <xdr:spPr bwMode="auto">
            <a:xfrm>
              <a:off x="7292067" y="571500"/>
              <a:ext cx="3375932" cy="18233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18</xdr:col>
      <xdr:colOff>480484</xdr:colOff>
      <xdr:row>0</xdr:row>
      <xdr:rowOff>105832</xdr:rowOff>
    </xdr:from>
    <xdr:to>
      <xdr:col>25</xdr:col>
      <xdr:colOff>42333</xdr:colOff>
      <xdr:row>14</xdr:row>
      <xdr:rowOff>119062</xdr:rowOff>
    </xdr:to>
    <xdr:graphicFrame macro="">
      <xdr:nvGraphicFramePr>
        <xdr:cNvPr id="35" name="Chart 34">
          <a:extLst>
            <a:ext uri="{FF2B5EF4-FFF2-40B4-BE49-F238E27FC236}">
              <a16:creationId xmlns:a16="http://schemas.microsoft.com/office/drawing/2014/main" id="{54421941-A0E6-45F2-ABD6-1E356245A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28575</xdr:colOff>
      <xdr:row>15</xdr:row>
      <xdr:rowOff>71439</xdr:rowOff>
    </xdr:from>
    <xdr:to>
      <xdr:col>11</xdr:col>
      <xdr:colOff>350044</xdr:colOff>
      <xdr:row>35</xdr:row>
      <xdr:rowOff>71437</xdr:rowOff>
    </xdr:to>
    <xdr:graphicFrame macro="">
      <xdr:nvGraphicFramePr>
        <xdr:cNvPr id="36" name="Chart 35">
          <a:extLst>
            <a:ext uri="{FF2B5EF4-FFF2-40B4-BE49-F238E27FC236}">
              <a16:creationId xmlns:a16="http://schemas.microsoft.com/office/drawing/2014/main" id="{88DB022D-FCB8-40E0-879F-4059B81AF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47625</xdr:colOff>
      <xdr:row>34</xdr:row>
      <xdr:rowOff>115095</xdr:rowOff>
    </xdr:from>
    <xdr:to>
      <xdr:col>9</xdr:col>
      <xdr:colOff>214311</xdr:colOff>
      <xdr:row>42</xdr:row>
      <xdr:rowOff>142874</xdr:rowOff>
    </xdr:to>
    <xdr:graphicFrame macro="">
      <xdr:nvGraphicFramePr>
        <xdr:cNvPr id="37" name="Chart 36">
          <a:extLst>
            <a:ext uri="{FF2B5EF4-FFF2-40B4-BE49-F238E27FC236}">
              <a16:creationId xmlns:a16="http://schemas.microsoft.com/office/drawing/2014/main" id="{581753BC-59C0-43AF-873C-A417D11BB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476249</xdr:colOff>
      <xdr:row>15</xdr:row>
      <xdr:rowOff>83344</xdr:rowOff>
    </xdr:from>
    <xdr:to>
      <xdr:col>18</xdr:col>
      <xdr:colOff>380999</xdr:colOff>
      <xdr:row>42</xdr:row>
      <xdr:rowOff>107156</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AB8AC2F9-4F80-44AE-9C4C-148837D987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857999" y="2940844"/>
              <a:ext cx="4155281" cy="5167312"/>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345281</xdr:colOff>
      <xdr:row>23</xdr:row>
      <xdr:rowOff>2</xdr:rowOff>
    </xdr:from>
    <xdr:to>
      <xdr:col>18</xdr:col>
      <xdr:colOff>0</xdr:colOff>
      <xdr:row>29</xdr:row>
      <xdr:rowOff>35720</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32BC44AA-9359-4C21-8126-18B3F780E0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763125" y="4381502"/>
              <a:ext cx="869156" cy="1178718"/>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511970</xdr:colOff>
      <xdr:row>15</xdr:row>
      <xdr:rowOff>107155</xdr:rowOff>
    </xdr:from>
    <xdr:to>
      <xdr:col>25</xdr:col>
      <xdr:colOff>67470</xdr:colOff>
      <xdr:row>27</xdr:row>
      <xdr:rowOff>178593</xdr:rowOff>
    </xdr:to>
    <xdr:graphicFrame macro="">
      <xdr:nvGraphicFramePr>
        <xdr:cNvPr id="40" name="Chart 39">
          <a:extLst>
            <a:ext uri="{FF2B5EF4-FFF2-40B4-BE49-F238E27FC236}">
              <a16:creationId xmlns:a16="http://schemas.microsoft.com/office/drawing/2014/main" id="{7B892443-075A-4AB9-8993-410FEFF31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523875</xdr:colOff>
      <xdr:row>28</xdr:row>
      <xdr:rowOff>166688</xdr:rowOff>
    </xdr:from>
    <xdr:to>
      <xdr:col>25</xdr:col>
      <xdr:colOff>31749</xdr:colOff>
      <xdr:row>42</xdr:row>
      <xdr:rowOff>83344</xdr:rowOff>
    </xdr:to>
    <xdr:graphicFrame macro="">
      <xdr:nvGraphicFramePr>
        <xdr:cNvPr id="41" name="Chart 40">
          <a:extLst>
            <a:ext uri="{FF2B5EF4-FFF2-40B4-BE49-F238E27FC236}">
              <a16:creationId xmlns:a16="http://schemas.microsoft.com/office/drawing/2014/main" id="{27B8907A-9F04-42C1-8665-4C20A019D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680</xdr:colOff>
      <xdr:row>21</xdr:row>
      <xdr:rowOff>104095</xdr:rowOff>
    </xdr:from>
    <xdr:to>
      <xdr:col>1</xdr:col>
      <xdr:colOff>1481478</xdr:colOff>
      <xdr:row>31</xdr:row>
      <xdr:rowOff>163285</xdr:rowOff>
    </xdr:to>
    <mc:AlternateContent xmlns:mc="http://schemas.openxmlformats.org/markup-compatibility/2006">
      <mc:Choice xmlns:a14="http://schemas.microsoft.com/office/drawing/2010/main" Requires="a14">
        <xdr:graphicFrame macro="">
          <xdr:nvGraphicFramePr>
            <xdr:cNvPr id="42" name="Order Mode">
              <a:extLst>
                <a:ext uri="{FF2B5EF4-FFF2-40B4-BE49-F238E27FC236}">
                  <a16:creationId xmlns:a16="http://schemas.microsoft.com/office/drawing/2014/main" id="{71273D1E-6081-4510-8F42-6B03252F7E7A}"/>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218394" y="4104595"/>
              <a:ext cx="1480798" cy="196419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11906</xdr:colOff>
      <xdr:row>32</xdr:row>
      <xdr:rowOff>136071</xdr:rowOff>
    </xdr:from>
    <xdr:to>
      <xdr:col>1</xdr:col>
      <xdr:colOff>1442358</xdr:colOff>
      <xdr:row>42</xdr:row>
      <xdr:rowOff>0</xdr:rowOff>
    </xdr:to>
    <mc:AlternateContent xmlns:mc="http://schemas.openxmlformats.org/markup-compatibility/2006">
      <mc:Choice xmlns:a14="http://schemas.microsoft.com/office/drawing/2010/main" Requires="a14">
        <xdr:graphicFrame macro="">
          <xdr:nvGraphicFramePr>
            <xdr:cNvPr id="43" name="Gender Value">
              <a:extLst>
                <a:ext uri="{FF2B5EF4-FFF2-40B4-BE49-F238E27FC236}">
                  <a16:creationId xmlns:a16="http://schemas.microsoft.com/office/drawing/2014/main" id="{AE76AE61-1ADA-480D-B4A0-E21E5F9F39A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29620" y="6232071"/>
              <a:ext cx="1430452" cy="17689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571500</xdr:colOff>
      <xdr:row>1</xdr:row>
      <xdr:rowOff>27214</xdr:rowOff>
    </xdr:from>
    <xdr:to>
      <xdr:col>16</xdr:col>
      <xdr:colOff>449035</xdr:colOff>
      <xdr:row>2</xdr:row>
      <xdr:rowOff>40821</xdr:rowOff>
    </xdr:to>
    <xdr:sp macro="" textlink="">
      <xdr:nvSpPr>
        <xdr:cNvPr id="44" name="TextBox 43">
          <a:extLst>
            <a:ext uri="{FF2B5EF4-FFF2-40B4-BE49-F238E27FC236}">
              <a16:creationId xmlns:a16="http://schemas.microsoft.com/office/drawing/2014/main" id="{D9930FAF-0942-5FA2-4133-30E4754CC943}"/>
            </a:ext>
          </a:extLst>
        </xdr:cNvPr>
        <xdr:cNvSpPr txBox="1"/>
      </xdr:nvSpPr>
      <xdr:spPr>
        <a:xfrm>
          <a:off x="7606393" y="217714"/>
          <a:ext cx="2326821" cy="20410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ZA" sz="1400" b="1"/>
            <a:t>How they like to buy?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shepang Letadi" refreshedDate="46106.901845023145" createdVersion="8" refreshedVersion="8" minRefreshableVersion="3" recordCount="2400" xr:uid="{A7ED740F-CFE6-4473-A1E5-4D7E4E0BCC4C}">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2025/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03/30"/>
        </groupItems>
      </fieldGroup>
    </cacheField>
    <cacheField name="Months (Order Date)" numFmtId="0" databaseField="0">
      <fieldGroup base="5">
        <rangePr groupBy="months" startDate="2025-01-01T00:00:00" endDate="2025-03-30T00:00:00"/>
        <groupItems count="14">
          <s v="&lt;2025/01/01"/>
          <s v="Jan"/>
          <s v="Feb"/>
          <s v="Mar"/>
          <s v="Apr"/>
          <s v="May"/>
          <s v="Jun"/>
          <s v="Jul"/>
          <s v="Aug"/>
          <s v="Sep"/>
          <s v="Oct"/>
          <s v="Nov"/>
          <s v="Dec"/>
          <s v="&gt;2025/03/30"/>
        </groupItems>
      </fieldGroup>
    </cacheField>
  </cacheFields>
  <extLst>
    <ext xmlns:x14="http://schemas.microsoft.com/office/spreadsheetml/2009/9/main" uri="{725AE2AE-9491-48be-B2B4-4EB974FC3084}">
      <x14:pivotCacheDefinition pivotCacheId="1606108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DA6A50-47F8-4245-8A26-C0A871E3FCC0}" name="pvtTrends"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8:C22"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8"/>
  </dataFields>
  <formats count="3">
    <format dxfId="0">
      <pivotArea outline="0" fieldPosition="0">
        <references count="1">
          <reference field="4294967294" count="1">
            <x v="1"/>
          </reference>
        </references>
      </pivotArea>
    </format>
    <format dxfId="1">
      <pivotArea field="13" type="button" dataOnly="0" labelOnly="1" outline="0" axis="axisRow" fieldPosition="0"/>
    </format>
    <format dxfId="2">
      <pivotArea dataOnly="0" labelOnly="1" outline="0" fieldPosition="0">
        <references count="1">
          <reference field="4294967294" count="2">
            <x v="0"/>
            <x v="1"/>
          </reference>
        </references>
      </pivotArea>
    </format>
  </format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FF363C-9FDC-4170-A329-0752BB3D1636}" name="pvtSumma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formats count="1">
    <format dxfId="3">
      <pivotArea dataOnly="0" labelOnly="1" outline="0" fieldPosition="0">
        <references count="1">
          <reference field="4294967294" count="5">
            <x v="0"/>
            <x v="1"/>
            <x v="2"/>
            <x v="3"/>
            <x v="4"/>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E74516-F577-42CD-AB78-F5E67A1C2FB0}" name="pvtMatrix"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F5805-B744-41D2-8221-C98E1E116886}" name="pvtQt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721074-005B-4629-9EB3-533A750A8CF3}" name="pvtMap"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3:D9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ascending"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CBCAE9-234A-485A-B9B9-3B489C6B4605}" name="pvtGender"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3:J8" firstHeaderRow="1" firstDataRow="1" firstDataCol="1"/>
  <pivotFields count="18">
    <pivotField showAll="0"/>
    <pivotField showAll="0" sortType="ascending">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2">
          <reference field="4294967294" count="1" selected="0">
            <x v="0"/>
          </reference>
          <reference field="14" count="1" selected="0">
            <x v="2"/>
          </reference>
        </references>
      </pivotArea>
    </chartFormat>
    <chartFormat chart="8" format="3" series="1">
      <pivotArea type="data" outline="0" fieldPosition="0">
        <references count="2">
          <reference field="4294967294" count="1" selected="0">
            <x v="0"/>
          </reference>
          <reference field="14" count="1" selected="0">
            <x v="3"/>
          </reference>
        </references>
      </pivotArea>
    </chartFormat>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4" count="1" selected="0">
            <x v="0"/>
          </reference>
        </references>
      </pivotArea>
    </chartFormat>
    <chartFormat chart="19" format="8">
      <pivotArea type="data" outline="0" fieldPosition="0">
        <references count="2">
          <reference field="4294967294" count="1" selected="0">
            <x v="0"/>
          </reference>
          <reference field="14" count="1" selected="0">
            <x v="1"/>
          </reference>
        </references>
      </pivotArea>
    </chartFormat>
    <chartFormat chart="19" format="9">
      <pivotArea type="data" outline="0" fieldPosition="0">
        <references count="2">
          <reference field="4294967294" count="1" selected="0">
            <x v="0"/>
          </reference>
          <reference field="14" count="1" selected="0">
            <x v="2"/>
          </reference>
        </references>
      </pivotArea>
    </chartFormat>
    <chartFormat chart="19" format="10">
      <pivotArea type="data" outline="0" fieldPosition="0">
        <references count="2">
          <reference field="4294967294" count="1" selected="0">
            <x v="0"/>
          </reference>
          <reference field="1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1A9CA5-E374-4457-97F0-D2A60F376EC3}" name="pvtProduct"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F25" firstHeaderRow="1" firstDataRow="2" firstDataCol="1"/>
  <pivotFields count="18">
    <pivotField showAll="0"/>
    <pivotField axis="axisRow" showAll="0" sortType="ascending">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14"/>
  </colFields>
  <colItems count="5">
    <i>
      <x/>
    </i>
    <i>
      <x v="1"/>
    </i>
    <i>
      <x v="2"/>
    </i>
    <i>
      <x v="3"/>
    </i>
    <i t="grand">
      <x/>
    </i>
  </colItems>
  <dataFields count="1">
    <dataField name="Sum of Quantity" fld="2" baseField="0" baseItem="0"/>
  </dataFields>
  <chartFormats count="4">
    <chartFormat chart="10" format="8" series="1">
      <pivotArea type="data" outline="0" fieldPosition="0">
        <references count="2">
          <reference field="4294967294" count="1" selected="0">
            <x v="0"/>
          </reference>
          <reference field="14" count="1" selected="0">
            <x v="0"/>
          </reference>
        </references>
      </pivotArea>
    </chartFormat>
    <chartFormat chart="10" format="9" series="1">
      <pivotArea type="data" outline="0" fieldPosition="0">
        <references count="2">
          <reference field="4294967294" count="1" selected="0">
            <x v="0"/>
          </reference>
          <reference field="14" count="1" selected="0">
            <x v="1"/>
          </reference>
        </references>
      </pivotArea>
    </chartFormat>
    <chartFormat chart="10" format="10" series="1">
      <pivotArea type="data" outline="0" fieldPosition="0">
        <references count="2">
          <reference field="4294967294" count="1" selected="0">
            <x v="0"/>
          </reference>
          <reference field="14" count="1" selected="0">
            <x v="2"/>
          </reference>
        </references>
      </pivotArea>
    </chartFormat>
    <chartFormat chart="10" format="11" series="1">
      <pivotArea type="data" outline="0" fieldPosition="0">
        <references count="2">
          <reference field="4294967294" count="1" selected="0">
            <x v="0"/>
          </reference>
          <reference field="1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1F26B4-E006-4696-840F-3DFABA75D785}" name="pvtRating"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I8:O13"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33" format="14" series="1">
      <pivotArea type="data" outline="0" fieldPosition="0">
        <references count="2">
          <reference field="4294967294" count="1" selected="0">
            <x v="0"/>
          </reference>
          <reference field="9" count="1" selected="0">
            <x v="0"/>
          </reference>
        </references>
      </pivotArea>
    </chartFormat>
    <chartFormat chart="33" format="15" series="1">
      <pivotArea type="data" outline="0" fieldPosition="0">
        <references count="2">
          <reference field="4294967294" count="1" selected="0">
            <x v="0"/>
          </reference>
          <reference field="9" count="1" selected="0">
            <x v="1"/>
          </reference>
        </references>
      </pivotArea>
    </chartFormat>
    <chartFormat chart="33" format="16" series="1">
      <pivotArea type="data" outline="0" fieldPosition="0">
        <references count="2">
          <reference field="4294967294" count="1" selected="0">
            <x v="0"/>
          </reference>
          <reference field="9" count="1" selected="0">
            <x v="2"/>
          </reference>
        </references>
      </pivotArea>
    </chartFormat>
    <chartFormat chart="33" format="17" series="1">
      <pivotArea type="data" outline="0" fieldPosition="0">
        <references count="2">
          <reference field="4294967294" count="1" selected="0">
            <x v="0"/>
          </reference>
          <reference field="9" count="1" selected="0">
            <x v="3"/>
          </reference>
        </references>
      </pivotArea>
    </chartFormat>
    <chartFormat chart="33" format="18" series="1">
      <pivotArea type="data" outline="0" fieldPosition="0">
        <references count="2">
          <reference field="4294967294" count="1" selected="0">
            <x v="0"/>
          </reference>
          <reference field="9" count="1" selected="0">
            <x v="4"/>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1C9706-35E2-493E-A350-4227CF042F36}" name="pvtDuration"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7A20E91-FB47-46F5-89B2-B2D686CD59D7}" sourceName="Order Mode">
  <pivotTables>
    <pivotTable tabId="5" name="pvtTrends"/>
    <pivotTable tabId="9" name="pvtQty"/>
    <pivotTable tabId="10" name="pvtGender"/>
    <pivotTable tabId="10" name="pvtMap"/>
    <pivotTable tabId="10" name="pvtProduct"/>
    <pivotTable tabId="13" name="pvtDuration"/>
    <pivotTable tabId="13" name="pvtRating"/>
  </pivotTables>
  <data>
    <tabular pivotCacheId="160610864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6D11849-81C7-42B6-AE41-D6531C7A562F}" sourceName="Gender Value">
  <pivotTables>
    <pivotTable tabId="5" name="pvtTrends"/>
    <pivotTable tabId="9" name="pvtQty"/>
    <pivotTable tabId="10" name="pvtMap"/>
    <pivotTable tabId="13" name="pvtDuration"/>
    <pivotTable tabId="13" name="pvtRating"/>
  </pivotTables>
  <data>
    <tabular pivotCacheId="160610864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6DBF1D1-F82E-4668-8EC3-96F0F96B0F58}" cache="Slicer_Order_Mode" caption="Order Mode" rowHeight="257175"/>
  <slicer name="Gender Value" xr10:uid="{BD382741-CB3D-456F-8673-3EEECF78747F}" cache="Slicer_Gender_Value" caption="Gender Valu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9EA579"/>
      </a:dk2>
      <a:lt2>
        <a:srgbClr val="808759"/>
      </a:lt2>
      <a:accent1>
        <a:srgbClr val="775F55"/>
      </a:accent1>
      <a:accent2>
        <a:srgbClr val="92D050"/>
      </a:accent2>
      <a:accent3>
        <a:srgbClr val="49711E"/>
      </a:accent3>
      <a:accent4>
        <a:srgbClr val="D3ECB9"/>
      </a:accent4>
      <a:accent5>
        <a:srgbClr val="40432C"/>
      </a:accent5>
      <a:accent6>
        <a:srgbClr val="798056"/>
      </a:accent6>
      <a:hlink>
        <a:srgbClr val="B5BA97"/>
      </a:hlink>
      <a:folHlink>
        <a:srgbClr val="79805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abSelected="1" workbookViewId="0">
      <selection activeCell="H10" sqref="H10"/>
    </sheetView>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E7" sqref="E7"/>
    </sheetView>
  </sheetViews>
  <sheetFormatPr defaultRowHeight="15" x14ac:dyDescent="0.25"/>
  <cols>
    <col min="2" max="2" width="20.85546875" bestFit="1" customWidth="1"/>
    <col min="3" max="3" width="8.7109375" bestFit="1" customWidth="1"/>
    <col min="4" max="4" width="9.7109375" bestFit="1" customWidth="1"/>
    <col min="5" max="5" width="8" bestFit="1" customWidth="1"/>
    <col min="6" max="6" width="10.85546875" bestFit="1" customWidth="1"/>
    <col min="7" max="7" width="9.42578125" bestFit="1" customWidth="1"/>
    <col min="8" max="8" width="17.42578125" bestFit="1" customWidth="1"/>
    <col min="9" max="9" width="11.5703125" bestFit="1" customWidth="1"/>
    <col min="10" max="10" width="8.5703125" bestFit="1" customWidth="1"/>
    <col min="11" max="11" width="9.7109375" bestFit="1" customWidth="1"/>
    <col min="12" max="12" width="22" bestFit="1" customWidth="1"/>
    <col min="13" max="13" width="14.85546875" bestFit="1" customWidth="1"/>
    <col min="14" max="14" width="10.140625" bestFit="1" customWidth="1"/>
    <col min="15" max="15" width="13.28515625" bestFit="1"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zoomScale="70" zoomScaleNormal="70" workbookViewId="0">
      <selection activeCell="AB15" sqref="AB15"/>
    </sheetView>
  </sheetViews>
  <sheetFormatPr defaultRowHeight="15" x14ac:dyDescent="0.25"/>
  <cols>
    <col min="1" max="1" width="3.28515625" customWidth="1"/>
    <col min="2" max="2" width="22.28515625" customWidth="1"/>
    <col min="3" max="4" width="3.28515625" customWidth="1"/>
    <col min="26" max="26" width="3.285156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A7666-4205-4580-A37E-B770BA6ACAC1}">
  <dimension ref="A1:K22"/>
  <sheetViews>
    <sheetView workbookViewId="0">
      <selection activeCell="AC31" sqref="AC31"/>
    </sheetView>
  </sheetViews>
  <sheetFormatPr defaultRowHeight="15" x14ac:dyDescent="0.25"/>
  <cols>
    <col min="1" max="1" width="13.42578125" bestFit="1" customWidth="1"/>
    <col min="2" max="2" width="15.5703125" bestFit="1" customWidth="1"/>
    <col min="3" max="3" width="14.85546875" bestFit="1" customWidth="1"/>
    <col min="4" max="4" width="18.7109375" bestFit="1" customWidth="1"/>
    <col min="5" max="5" width="25" bestFit="1" customWidth="1"/>
    <col min="7" max="7" width="17" bestFit="1" customWidth="1"/>
    <col min="8" max="8" width="7.85546875" bestFit="1" customWidth="1"/>
    <col min="9" max="9" width="13.85546875" bestFit="1" customWidth="1"/>
    <col min="10" max="10" width="10.5703125" bestFit="1" customWidth="1"/>
  </cols>
  <sheetData>
    <row r="1" spans="1:11" x14ac:dyDescent="0.25">
      <c r="A1" s="11" t="s">
        <v>2521</v>
      </c>
      <c r="B1" s="11" t="s">
        <v>2522</v>
      </c>
      <c r="C1" s="11" t="s">
        <v>2523</v>
      </c>
      <c r="D1" s="11" t="s">
        <v>2524</v>
      </c>
      <c r="E1" s="11" t="s">
        <v>2528</v>
      </c>
      <c r="G1" t="s">
        <v>2525</v>
      </c>
    </row>
    <row r="2" spans="1:11" x14ac:dyDescent="0.25">
      <c r="A2" s="8">
        <v>2400</v>
      </c>
      <c r="B2" s="8">
        <v>11997</v>
      </c>
      <c r="C2" s="8">
        <v>649019.80000000144</v>
      </c>
      <c r="D2" s="8">
        <v>3.9620833333333332</v>
      </c>
      <c r="E2" s="8">
        <v>2.3424999999999998</v>
      </c>
      <c r="G2" t="s">
        <v>2518</v>
      </c>
      <c r="H2" t="s">
        <v>2526</v>
      </c>
      <c r="I2" t="s">
        <v>4</v>
      </c>
      <c r="J2" t="s">
        <v>2507</v>
      </c>
      <c r="K2" t="s">
        <v>2527</v>
      </c>
    </row>
    <row r="3" spans="1:11" x14ac:dyDescent="0.25">
      <c r="G3" s="9" t="str">
        <f>TEXT(A2,"# ##0")</f>
        <v>2 400</v>
      </c>
      <c r="H3" s="9" t="str">
        <f t="shared" ref="H3:K3" si="0">TEXT(B2,"# ##0")</f>
        <v>11 997</v>
      </c>
      <c r="I3" s="9" t="str">
        <f>TEXT(C2,"R# ##0")</f>
        <v>R649 020</v>
      </c>
      <c r="J3" s="9" t="str">
        <f>TEXT(D2,"# ##")</f>
        <v>4</v>
      </c>
      <c r="K3" s="9" t="str">
        <f>TEXT(E2,"# ##0")</f>
        <v>2</v>
      </c>
    </row>
    <row r="7" spans="1:11" x14ac:dyDescent="0.25">
      <c r="A7" t="s">
        <v>2529</v>
      </c>
    </row>
    <row r="8" spans="1:11" x14ac:dyDescent="0.25">
      <c r="A8" s="11" t="s">
        <v>2519</v>
      </c>
      <c r="B8" s="11" t="s">
        <v>2522</v>
      </c>
      <c r="C8" s="11" t="s">
        <v>2523</v>
      </c>
    </row>
    <row r="9" spans="1:11" x14ac:dyDescent="0.25">
      <c r="A9" s="7">
        <v>1</v>
      </c>
      <c r="B9" s="8">
        <v>546</v>
      </c>
      <c r="C9" s="10">
        <v>32413.300000000003</v>
      </c>
    </row>
    <row r="10" spans="1:11" x14ac:dyDescent="0.25">
      <c r="A10" s="7">
        <v>2</v>
      </c>
      <c r="B10" s="8">
        <v>905</v>
      </c>
      <c r="C10" s="10">
        <v>49562.999999999993</v>
      </c>
    </row>
    <row r="11" spans="1:11" x14ac:dyDescent="0.25">
      <c r="A11" s="7">
        <v>3</v>
      </c>
      <c r="B11" s="8">
        <v>796</v>
      </c>
      <c r="C11" s="10">
        <v>41700.400000000016</v>
      </c>
    </row>
    <row r="12" spans="1:11" x14ac:dyDescent="0.25">
      <c r="A12" s="7">
        <v>4</v>
      </c>
      <c r="B12" s="8">
        <v>913</v>
      </c>
      <c r="C12" s="10">
        <v>46782.599999999984</v>
      </c>
    </row>
    <row r="13" spans="1:11" x14ac:dyDescent="0.25">
      <c r="A13" s="7">
        <v>5</v>
      </c>
      <c r="B13" s="8">
        <v>844</v>
      </c>
      <c r="C13" s="10">
        <v>42676.100000000006</v>
      </c>
    </row>
    <row r="14" spans="1:11" x14ac:dyDescent="0.25">
      <c r="A14" s="7">
        <v>6</v>
      </c>
      <c r="B14" s="8">
        <v>1202</v>
      </c>
      <c r="C14" s="10">
        <v>62910.7</v>
      </c>
    </row>
    <row r="15" spans="1:11" x14ac:dyDescent="0.25">
      <c r="A15" s="7">
        <v>7</v>
      </c>
      <c r="B15" s="8">
        <v>935</v>
      </c>
      <c r="C15" s="10">
        <v>50332.200000000004</v>
      </c>
    </row>
    <row r="16" spans="1:11" x14ac:dyDescent="0.25">
      <c r="A16" s="7">
        <v>8</v>
      </c>
      <c r="B16" s="8">
        <v>1128</v>
      </c>
      <c r="C16" s="10">
        <v>58760.599999999977</v>
      </c>
    </row>
    <row r="17" spans="1:3" x14ac:dyDescent="0.25">
      <c r="A17" s="7">
        <v>9</v>
      </c>
      <c r="B17" s="8">
        <v>1007</v>
      </c>
      <c r="C17" s="10">
        <v>52017.299999999996</v>
      </c>
    </row>
    <row r="18" spans="1:3" x14ac:dyDescent="0.25">
      <c r="A18" s="7">
        <v>10</v>
      </c>
      <c r="B18" s="8">
        <v>1128</v>
      </c>
      <c r="C18" s="10">
        <v>64915.700000000033</v>
      </c>
    </row>
    <row r="19" spans="1:3" x14ac:dyDescent="0.25">
      <c r="A19" s="7">
        <v>11</v>
      </c>
      <c r="B19" s="8">
        <v>861</v>
      </c>
      <c r="C19" s="10">
        <v>45943.80000000001</v>
      </c>
    </row>
    <row r="20" spans="1:3" x14ac:dyDescent="0.25">
      <c r="A20" s="7">
        <v>12</v>
      </c>
      <c r="B20" s="8">
        <v>944</v>
      </c>
      <c r="C20" s="10">
        <v>55077.900000000031</v>
      </c>
    </row>
    <row r="21" spans="1:3" x14ac:dyDescent="0.25">
      <c r="A21" s="7">
        <v>13</v>
      </c>
      <c r="B21" s="8">
        <v>788</v>
      </c>
      <c r="C21" s="10">
        <v>45926.19999999999</v>
      </c>
    </row>
    <row r="22" spans="1:3" x14ac:dyDescent="0.25">
      <c r="A22" s="7" t="s">
        <v>2520</v>
      </c>
      <c r="B22" s="8">
        <v>11997</v>
      </c>
      <c r="C22" s="10">
        <v>649019.79999999993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137A-E0E7-482B-9914-C70C4E59FA8D}">
  <dimension ref="A2:N10"/>
  <sheetViews>
    <sheetView showGridLines="0" workbookViewId="0">
      <selection activeCell="J4" sqref="J4"/>
    </sheetView>
  </sheetViews>
  <sheetFormatPr defaultRowHeight="15" x14ac:dyDescent="0.25"/>
  <cols>
    <col min="1" max="1" width="14.85546875" bestFit="1" customWidth="1"/>
    <col min="2" max="2" width="16.85546875" bestFit="1" customWidth="1"/>
    <col min="3" max="3" width="7.140625" bestFit="1" customWidth="1"/>
    <col min="4" max="4" width="6.140625" bestFit="1" customWidth="1"/>
    <col min="5" max="5" width="9.28515625" bestFit="1" customWidth="1"/>
    <col min="6" max="6" width="11.28515625" bestFit="1" customWidth="1"/>
    <col min="8" max="8" width="11.28515625" bestFit="1" customWidth="1"/>
  </cols>
  <sheetData>
    <row r="2" spans="1:14" x14ac:dyDescent="0.25">
      <c r="H2" t="s">
        <v>2535</v>
      </c>
    </row>
    <row r="3" spans="1:14" x14ac:dyDescent="0.25">
      <c r="A3" s="6" t="s">
        <v>2523</v>
      </c>
      <c r="B3" s="6" t="s">
        <v>2530</v>
      </c>
      <c r="H3" s="14"/>
      <c r="I3" s="14"/>
      <c r="J3" s="14"/>
      <c r="K3" s="14"/>
      <c r="L3" s="14"/>
    </row>
    <row r="4" spans="1:14" x14ac:dyDescent="0.25">
      <c r="A4" s="6" t="s">
        <v>2519</v>
      </c>
      <c r="B4" t="s">
        <v>2531</v>
      </c>
      <c r="C4" t="s">
        <v>2532</v>
      </c>
      <c r="D4" t="s">
        <v>2533</v>
      </c>
      <c r="E4" t="s">
        <v>2534</v>
      </c>
      <c r="F4" t="s">
        <v>2520</v>
      </c>
      <c r="G4" s="20"/>
      <c r="H4" s="15"/>
      <c r="I4" s="15" t="str">
        <f>B4</f>
        <v>Female</v>
      </c>
      <c r="J4" s="15" t="str">
        <f t="shared" ref="J4:L4" si="0">C4</f>
        <v>Male</v>
      </c>
      <c r="K4" s="15" t="str">
        <f t="shared" si="0"/>
        <v>Other</v>
      </c>
      <c r="L4" s="16" t="str">
        <f t="shared" si="0"/>
        <v>Unknown</v>
      </c>
    </row>
    <row r="5" spans="1:14" x14ac:dyDescent="0.25">
      <c r="A5" s="7" t="s">
        <v>18</v>
      </c>
      <c r="B5" s="12">
        <v>0.18961825201634841</v>
      </c>
      <c r="C5" s="12">
        <v>0.12262322351336576</v>
      </c>
      <c r="D5" s="12">
        <v>1.060537752469185E-2</v>
      </c>
      <c r="E5" s="12">
        <v>3.0599220547662797E-2</v>
      </c>
      <c r="F5" s="12">
        <v>0.35344607360206881</v>
      </c>
      <c r="G5" s="20"/>
      <c r="H5" s="15" t="str">
        <f>A5</f>
        <v>App</v>
      </c>
      <c r="I5" s="13">
        <f t="shared" ref="I5:M9" si="1">B5</f>
        <v>0.18961825201634841</v>
      </c>
      <c r="J5" s="13">
        <f t="shared" si="1"/>
        <v>0.12262322351336576</v>
      </c>
      <c r="K5" s="13">
        <f t="shared" si="1"/>
        <v>1.060537752469185E-2</v>
      </c>
      <c r="L5" s="17">
        <f t="shared" si="1"/>
        <v>3.0599220547662797E-2</v>
      </c>
    </row>
    <row r="6" spans="1:14" x14ac:dyDescent="0.25">
      <c r="A6" s="7" t="s">
        <v>51</v>
      </c>
      <c r="B6" s="12">
        <v>5.0283982091147303E-2</v>
      </c>
      <c r="C6" s="12">
        <v>4.3060781812819873E-2</v>
      </c>
      <c r="D6" s="12">
        <v>1.5320025675641944E-3</v>
      </c>
      <c r="E6" s="12">
        <v>1.7794988689097006E-2</v>
      </c>
      <c r="F6" s="12">
        <v>0.11267175516062837</v>
      </c>
      <c r="G6" s="20"/>
      <c r="H6" s="15" t="str">
        <f t="shared" ref="H6:H9" si="2">A6</f>
        <v>Instagram</v>
      </c>
      <c r="I6" s="13">
        <f t="shared" si="1"/>
        <v>5.0283982091147303E-2</v>
      </c>
      <c r="J6" s="13">
        <f t="shared" si="1"/>
        <v>4.3060781812819873E-2</v>
      </c>
      <c r="K6" s="13">
        <f t="shared" si="1"/>
        <v>1.5320025675641944E-3</v>
      </c>
      <c r="L6" s="17">
        <f t="shared" si="1"/>
        <v>1.7794988689097006E-2</v>
      </c>
      <c r="N6" s="14"/>
    </row>
    <row r="7" spans="1:14" x14ac:dyDescent="0.25">
      <c r="A7" s="7" t="s">
        <v>70</v>
      </c>
      <c r="B7" s="12">
        <v>6.3496059750411282E-2</v>
      </c>
      <c r="C7" s="12">
        <v>4.6071629863988765E-2</v>
      </c>
      <c r="D7" s="12">
        <v>2.306247051322625E-3</v>
      </c>
      <c r="E7" s="12">
        <v>3.8927934093844286E-3</v>
      </c>
      <c r="F7" s="12">
        <v>0.11576673007510711</v>
      </c>
      <c r="G7" s="20"/>
      <c r="H7" s="15" t="str">
        <f t="shared" si="2"/>
        <v>Partner App</v>
      </c>
      <c r="I7" s="13">
        <f t="shared" si="1"/>
        <v>6.3496059750411282E-2</v>
      </c>
      <c r="J7" s="13">
        <f t="shared" si="1"/>
        <v>4.6071629863988765E-2</v>
      </c>
      <c r="K7" s="13">
        <f t="shared" si="1"/>
        <v>2.306247051322625E-3</v>
      </c>
      <c r="L7" s="17">
        <f t="shared" si="1"/>
        <v>3.8927934093844286E-3</v>
      </c>
    </row>
    <row r="8" spans="1:14" x14ac:dyDescent="0.25">
      <c r="A8" s="7" t="s">
        <v>40</v>
      </c>
      <c r="B8" s="12">
        <v>9.6337892927149532E-2</v>
      </c>
      <c r="C8" s="12">
        <v>6.7920115842382611E-2</v>
      </c>
      <c r="D8" s="12">
        <v>5.4979832664581261E-3</v>
      </c>
      <c r="E8" s="12">
        <v>1.2933041488102518E-2</v>
      </c>
      <c r="F8" s="12">
        <v>0.1826890335240928</v>
      </c>
      <c r="G8" s="20"/>
      <c r="H8" s="15" t="str">
        <f t="shared" si="2"/>
        <v>Target.com</v>
      </c>
      <c r="I8" s="13">
        <f t="shared" si="1"/>
        <v>9.6337892927149532E-2</v>
      </c>
      <c r="J8" s="13">
        <f t="shared" si="1"/>
        <v>6.7920115842382611E-2</v>
      </c>
      <c r="K8" s="13">
        <f t="shared" si="1"/>
        <v>5.4979832664581261E-3</v>
      </c>
      <c r="L8" s="17">
        <f t="shared" si="1"/>
        <v>1.2933041488102518E-2</v>
      </c>
    </row>
    <row r="9" spans="1:14" x14ac:dyDescent="0.25">
      <c r="A9" s="7" t="s">
        <v>35</v>
      </c>
      <c r="B9" s="12">
        <v>0.12522098709469262</v>
      </c>
      <c r="C9" s="12">
        <v>9.1492740283116228E-2</v>
      </c>
      <c r="D9" s="12">
        <v>6.3042760790965081E-3</v>
      </c>
      <c r="E9" s="12">
        <v>1.2408404181197551E-2</v>
      </c>
      <c r="F9" s="12">
        <v>0.23542640763810288</v>
      </c>
      <c r="G9" s="20"/>
      <c r="H9" s="14" t="str">
        <f t="shared" si="2"/>
        <v>Website</v>
      </c>
      <c r="I9" s="18">
        <f t="shared" si="1"/>
        <v>0.12522098709469262</v>
      </c>
      <c r="J9" s="18">
        <f t="shared" si="1"/>
        <v>9.1492740283116228E-2</v>
      </c>
      <c r="K9" s="18">
        <f t="shared" si="1"/>
        <v>6.3042760790965081E-3</v>
      </c>
      <c r="L9" s="19">
        <f t="shared" si="1"/>
        <v>1.2408404181197551E-2</v>
      </c>
    </row>
    <row r="10" spans="1:14" x14ac:dyDescent="0.25">
      <c r="A10" s="7" t="s">
        <v>2520</v>
      </c>
      <c r="B10" s="12">
        <v>0.52495717387974916</v>
      </c>
      <c r="C10" s="12">
        <v>0.3711684913156732</v>
      </c>
      <c r="D10" s="12">
        <v>2.6245886489133303E-2</v>
      </c>
      <c r="E10" s="12">
        <v>7.7628448315444312E-2</v>
      </c>
      <c r="F10" s="12">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9150-EBF9-443E-B6DE-1C99F7F0D97D}">
  <dimension ref="A1:B11"/>
  <sheetViews>
    <sheetView workbookViewId="0">
      <selection activeCell="A3" sqref="A3"/>
    </sheetView>
  </sheetViews>
  <sheetFormatPr defaultRowHeight="15" x14ac:dyDescent="0.25"/>
  <cols>
    <col min="1" max="1" width="13.42578125" bestFit="1" customWidth="1"/>
    <col min="2" max="2" width="14" bestFit="1" customWidth="1"/>
  </cols>
  <sheetData>
    <row r="1" spans="1:2" x14ac:dyDescent="0.25">
      <c r="A1" t="s">
        <v>2536</v>
      </c>
    </row>
    <row r="3" spans="1:2" x14ac:dyDescent="0.25">
      <c r="A3" s="6" t="s">
        <v>2519</v>
      </c>
      <c r="B3" t="s">
        <v>2521</v>
      </c>
    </row>
    <row r="4" spans="1:2" x14ac:dyDescent="0.25">
      <c r="A4" s="7">
        <v>1</v>
      </c>
      <c r="B4" s="8">
        <v>397</v>
      </c>
    </row>
    <row r="5" spans="1:2" x14ac:dyDescent="0.25">
      <c r="A5" s="7">
        <v>2</v>
      </c>
      <c r="B5" s="8">
        <v>540</v>
      </c>
    </row>
    <row r="6" spans="1:2" x14ac:dyDescent="0.25">
      <c r="A6" s="7">
        <v>3</v>
      </c>
      <c r="B6" s="8">
        <v>375</v>
      </c>
    </row>
    <row r="7" spans="1:2" x14ac:dyDescent="0.25">
      <c r="A7" s="7">
        <v>4</v>
      </c>
      <c r="B7" s="8">
        <v>246</v>
      </c>
    </row>
    <row r="8" spans="1:2" x14ac:dyDescent="0.25">
      <c r="A8" s="7">
        <v>5</v>
      </c>
      <c r="B8" s="8">
        <v>195</v>
      </c>
    </row>
    <row r="9" spans="1:2" x14ac:dyDescent="0.25">
      <c r="A9" s="7" t="s">
        <v>2537</v>
      </c>
      <c r="B9" s="8">
        <v>414</v>
      </c>
    </row>
    <row r="10" spans="1:2" x14ac:dyDescent="0.25">
      <c r="A10" s="7" t="s">
        <v>2538</v>
      </c>
      <c r="B10" s="8">
        <v>233</v>
      </c>
    </row>
    <row r="11" spans="1:2" x14ac:dyDescent="0.25">
      <c r="A11" s="7" t="s">
        <v>2520</v>
      </c>
      <c r="B11" s="8">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F4DC-765C-4E7F-88B8-386E4703B229}">
  <dimension ref="A1:P91"/>
  <sheetViews>
    <sheetView workbookViewId="0">
      <selection activeCell="N33" sqref="N33:O90"/>
    </sheetView>
  </sheetViews>
  <sheetFormatPr defaultRowHeight="15" x14ac:dyDescent="0.25"/>
  <cols>
    <col min="1" max="1" width="20.85546875" bestFit="1" customWidth="1"/>
    <col min="2" max="2" width="22" bestFit="1" customWidth="1"/>
    <col min="3" max="3" width="15.5703125" bestFit="1" customWidth="1"/>
    <col min="4" max="4" width="14.85546875" bestFit="1" customWidth="1"/>
    <col min="5" max="5" width="9.28515625" bestFit="1" customWidth="1"/>
    <col min="6" max="6" width="11.28515625" bestFit="1" customWidth="1"/>
    <col min="7" max="7" width="18.85546875" bestFit="1" customWidth="1"/>
    <col min="8" max="8" width="22" bestFit="1" customWidth="1"/>
    <col min="9" max="9" width="13.42578125" bestFit="1" customWidth="1"/>
    <col min="10" max="10" width="15.5703125" bestFit="1" customWidth="1"/>
    <col min="11" max="11" width="5.28515625" bestFit="1" customWidth="1"/>
    <col min="12" max="12" width="6.140625" bestFit="1" customWidth="1"/>
    <col min="13" max="13" width="9.28515625" bestFit="1" customWidth="1"/>
    <col min="14" max="14" width="23" bestFit="1" customWidth="1"/>
    <col min="15" max="15" width="22" bestFit="1" customWidth="1"/>
    <col min="16" max="16" width="14.85546875" bestFit="1" customWidth="1"/>
  </cols>
  <sheetData>
    <row r="1" spans="1:10" x14ac:dyDescent="0.25">
      <c r="A1" s="21" t="s">
        <v>2539</v>
      </c>
    </row>
    <row r="3" spans="1:10" x14ac:dyDescent="0.25">
      <c r="A3" s="6" t="s">
        <v>2522</v>
      </c>
      <c r="B3" s="6" t="s">
        <v>2530</v>
      </c>
      <c r="I3" s="6" t="s">
        <v>2519</v>
      </c>
      <c r="J3" t="s">
        <v>2522</v>
      </c>
    </row>
    <row r="4" spans="1:10" x14ac:dyDescent="0.25">
      <c r="A4" s="6" t="s">
        <v>2519</v>
      </c>
      <c r="B4" t="s">
        <v>2531</v>
      </c>
      <c r="C4" t="s">
        <v>2532</v>
      </c>
      <c r="D4" t="s">
        <v>2533</v>
      </c>
      <c r="E4" t="s">
        <v>2534</v>
      </c>
      <c r="F4" t="s">
        <v>2520</v>
      </c>
      <c r="I4" s="7" t="s">
        <v>2531</v>
      </c>
      <c r="J4" s="8">
        <v>6272</v>
      </c>
    </row>
    <row r="5" spans="1:10" x14ac:dyDescent="0.25">
      <c r="A5" s="7" t="s">
        <v>81</v>
      </c>
      <c r="B5" s="8">
        <v>43</v>
      </c>
      <c r="C5" s="8">
        <v>90</v>
      </c>
      <c r="D5" s="8">
        <v>8</v>
      </c>
      <c r="E5" s="8">
        <v>6</v>
      </c>
      <c r="F5" s="8">
        <v>147</v>
      </c>
      <c r="I5" s="7" t="s">
        <v>2532</v>
      </c>
      <c r="J5" s="8">
        <v>4672</v>
      </c>
    </row>
    <row r="6" spans="1:10" x14ac:dyDescent="0.25">
      <c r="A6" s="7" t="s">
        <v>54</v>
      </c>
      <c r="B6" s="8">
        <v>482</v>
      </c>
      <c r="C6" s="8">
        <v>295</v>
      </c>
      <c r="D6" s="8">
        <v>8</v>
      </c>
      <c r="E6" s="8">
        <v>22</v>
      </c>
      <c r="F6" s="8">
        <v>807</v>
      </c>
      <c r="I6" s="7" t="s">
        <v>2533</v>
      </c>
      <c r="J6" s="8">
        <v>317</v>
      </c>
    </row>
    <row r="7" spans="1:10" x14ac:dyDescent="0.25">
      <c r="A7" s="7" t="s">
        <v>69</v>
      </c>
      <c r="B7" s="8">
        <v>234</v>
      </c>
      <c r="C7" s="8">
        <v>93</v>
      </c>
      <c r="D7" s="8">
        <v>19</v>
      </c>
      <c r="E7" s="8">
        <v>24</v>
      </c>
      <c r="F7" s="8">
        <v>370</v>
      </c>
      <c r="I7" s="7" t="s">
        <v>2534</v>
      </c>
      <c r="J7" s="8">
        <v>736</v>
      </c>
    </row>
    <row r="8" spans="1:10" x14ac:dyDescent="0.25">
      <c r="A8" s="7" t="s">
        <v>123</v>
      </c>
      <c r="B8" s="8">
        <v>153</v>
      </c>
      <c r="C8" s="8">
        <v>246</v>
      </c>
      <c r="D8" s="8">
        <v>30</v>
      </c>
      <c r="E8" s="8">
        <v>8</v>
      </c>
      <c r="F8" s="8">
        <v>437</v>
      </c>
      <c r="I8" s="7" t="s">
        <v>2520</v>
      </c>
      <c r="J8" s="8">
        <v>11997</v>
      </c>
    </row>
    <row r="9" spans="1:10" x14ac:dyDescent="0.25">
      <c r="A9" s="7" t="s">
        <v>32</v>
      </c>
      <c r="B9" s="8">
        <v>431</v>
      </c>
      <c r="C9" s="8">
        <v>187</v>
      </c>
      <c r="D9" s="8">
        <v>14</v>
      </c>
      <c r="E9" s="8">
        <v>15</v>
      </c>
      <c r="F9" s="8">
        <v>647</v>
      </c>
    </row>
    <row r="10" spans="1:10" x14ac:dyDescent="0.25">
      <c r="A10" s="7" t="s">
        <v>42</v>
      </c>
      <c r="B10" s="8">
        <v>264</v>
      </c>
      <c r="C10" s="8">
        <v>318</v>
      </c>
      <c r="D10" s="8">
        <v>15</v>
      </c>
      <c r="E10" s="8">
        <v>9</v>
      </c>
      <c r="F10" s="8">
        <v>606</v>
      </c>
    </row>
    <row r="11" spans="1:10" x14ac:dyDescent="0.25">
      <c r="A11" s="7" t="s">
        <v>39</v>
      </c>
      <c r="B11" s="8">
        <v>716</v>
      </c>
      <c r="C11" s="8">
        <v>598</v>
      </c>
      <c r="D11" s="8">
        <v>18</v>
      </c>
      <c r="E11" s="8">
        <v>214</v>
      </c>
      <c r="F11" s="8">
        <v>1546</v>
      </c>
    </row>
    <row r="12" spans="1:10" x14ac:dyDescent="0.25">
      <c r="A12" s="7" t="s">
        <v>171</v>
      </c>
      <c r="B12" s="8">
        <v>26</v>
      </c>
      <c r="C12" s="8">
        <v>35</v>
      </c>
      <c r="D12" s="8">
        <v>4</v>
      </c>
      <c r="E12" s="8"/>
      <c r="F12" s="8">
        <v>65</v>
      </c>
    </row>
    <row r="13" spans="1:10" x14ac:dyDescent="0.25">
      <c r="A13" s="7" t="s">
        <v>146</v>
      </c>
      <c r="B13" s="8">
        <v>189</v>
      </c>
      <c r="C13" s="8">
        <v>168</v>
      </c>
      <c r="D13" s="8">
        <v>10</v>
      </c>
      <c r="E13" s="8">
        <v>31</v>
      </c>
      <c r="F13" s="8">
        <v>398</v>
      </c>
    </row>
    <row r="14" spans="1:10" x14ac:dyDescent="0.25">
      <c r="A14" s="7" t="s">
        <v>67</v>
      </c>
      <c r="B14" s="8">
        <v>179</v>
      </c>
      <c r="C14" s="8">
        <v>76</v>
      </c>
      <c r="D14" s="8">
        <v>3</v>
      </c>
      <c r="E14" s="8"/>
      <c r="F14" s="8">
        <v>258</v>
      </c>
    </row>
    <row r="15" spans="1:10" x14ac:dyDescent="0.25">
      <c r="A15" s="7" t="s">
        <v>135</v>
      </c>
      <c r="B15" s="8">
        <v>127</v>
      </c>
      <c r="C15" s="8">
        <v>118</v>
      </c>
      <c r="D15" s="8">
        <v>13</v>
      </c>
      <c r="E15" s="8">
        <v>12</v>
      </c>
      <c r="F15" s="8">
        <v>270</v>
      </c>
    </row>
    <row r="16" spans="1:10" x14ac:dyDescent="0.25">
      <c r="A16" s="7" t="s">
        <v>37</v>
      </c>
      <c r="B16" s="8">
        <v>296</v>
      </c>
      <c r="C16" s="8">
        <v>275</v>
      </c>
      <c r="D16" s="8">
        <v>9</v>
      </c>
      <c r="E16" s="8">
        <v>23</v>
      </c>
      <c r="F16" s="8">
        <v>603</v>
      </c>
    </row>
    <row r="17" spans="1:14" x14ac:dyDescent="0.25">
      <c r="A17" s="7" t="s">
        <v>16</v>
      </c>
      <c r="B17" s="8">
        <v>428</v>
      </c>
      <c r="C17" s="8">
        <v>293</v>
      </c>
      <c r="D17" s="8"/>
      <c r="E17" s="8">
        <v>24</v>
      </c>
      <c r="F17" s="8">
        <v>745</v>
      </c>
    </row>
    <row r="18" spans="1:14" x14ac:dyDescent="0.25">
      <c r="A18" s="7" t="s">
        <v>26</v>
      </c>
      <c r="B18" s="8">
        <v>627</v>
      </c>
      <c r="C18" s="8">
        <v>393</v>
      </c>
      <c r="D18" s="8">
        <v>29</v>
      </c>
      <c r="E18" s="8">
        <v>137</v>
      </c>
      <c r="F18" s="8">
        <v>1186</v>
      </c>
    </row>
    <row r="19" spans="1:14" x14ac:dyDescent="0.25">
      <c r="A19" s="7" t="s">
        <v>46</v>
      </c>
      <c r="B19" s="8">
        <v>445</v>
      </c>
      <c r="C19" s="8">
        <v>202</v>
      </c>
      <c r="D19" s="8">
        <v>14</v>
      </c>
      <c r="E19" s="8">
        <v>39</v>
      </c>
      <c r="F19" s="8">
        <v>700</v>
      </c>
    </row>
    <row r="20" spans="1:14" x14ac:dyDescent="0.25">
      <c r="A20" s="7" t="s">
        <v>128</v>
      </c>
      <c r="B20" s="8">
        <v>99</v>
      </c>
      <c r="C20" s="8">
        <v>69</v>
      </c>
      <c r="D20" s="8">
        <v>3</v>
      </c>
      <c r="E20" s="8">
        <v>24</v>
      </c>
      <c r="F20" s="8">
        <v>195</v>
      </c>
    </row>
    <row r="21" spans="1:14" x14ac:dyDescent="0.25">
      <c r="A21" s="7" t="s">
        <v>22</v>
      </c>
      <c r="B21" s="8">
        <v>568</v>
      </c>
      <c r="C21" s="8">
        <v>306</v>
      </c>
      <c r="D21" s="8">
        <v>22</v>
      </c>
      <c r="E21" s="8">
        <v>16</v>
      </c>
      <c r="F21" s="8">
        <v>912</v>
      </c>
    </row>
    <row r="22" spans="1:14" x14ac:dyDescent="0.25">
      <c r="A22" s="7" t="s">
        <v>76</v>
      </c>
      <c r="B22" s="8">
        <v>75</v>
      </c>
      <c r="C22" s="8">
        <v>103</v>
      </c>
      <c r="D22" s="8">
        <v>4</v>
      </c>
      <c r="E22" s="8">
        <v>6</v>
      </c>
      <c r="F22" s="8">
        <v>188</v>
      </c>
    </row>
    <row r="23" spans="1:14" x14ac:dyDescent="0.25">
      <c r="A23" s="7" t="s">
        <v>44</v>
      </c>
      <c r="B23" s="8">
        <v>744</v>
      </c>
      <c r="C23" s="8">
        <v>713</v>
      </c>
      <c r="D23" s="8">
        <v>90</v>
      </c>
      <c r="E23" s="8">
        <v>98</v>
      </c>
      <c r="F23" s="8">
        <v>1645</v>
      </c>
    </row>
    <row r="24" spans="1:14" x14ac:dyDescent="0.25">
      <c r="A24" s="7" t="s">
        <v>30</v>
      </c>
      <c r="B24" s="8">
        <v>146</v>
      </c>
      <c r="C24" s="8">
        <v>94</v>
      </c>
      <c r="D24" s="8">
        <v>4</v>
      </c>
      <c r="E24" s="8">
        <v>28</v>
      </c>
      <c r="F24" s="8">
        <v>272</v>
      </c>
    </row>
    <row r="25" spans="1:14" x14ac:dyDescent="0.25">
      <c r="A25" s="7" t="s">
        <v>2520</v>
      </c>
      <c r="B25" s="8">
        <v>6272</v>
      </c>
      <c r="C25" s="8">
        <v>4672</v>
      </c>
      <c r="D25" s="8">
        <v>317</v>
      </c>
      <c r="E25" s="8">
        <v>736</v>
      </c>
      <c r="F25" s="8">
        <v>11997</v>
      </c>
    </row>
    <row r="31" spans="1:14" x14ac:dyDescent="0.25">
      <c r="A31" s="21" t="s">
        <v>2540</v>
      </c>
    </row>
    <row r="32" spans="1:14" x14ac:dyDescent="0.25">
      <c r="G32" t="s">
        <v>2541</v>
      </c>
      <c r="N32" t="s">
        <v>2542</v>
      </c>
    </row>
    <row r="33" spans="1:16" x14ac:dyDescent="0.25">
      <c r="A33" s="6" t="s">
        <v>10</v>
      </c>
      <c r="B33" s="6" t="s">
        <v>11</v>
      </c>
      <c r="C33" t="s">
        <v>2522</v>
      </c>
      <c r="D33" t="s">
        <v>2523</v>
      </c>
      <c r="G33" s="5" t="str">
        <f>IF(A34="","",A34)</f>
        <v>California</v>
      </c>
      <c r="H33" s="5" t="str">
        <f t="shared" ref="H33:I33" si="0">IF(B34="","",B34)</f>
        <v>Alameda County</v>
      </c>
      <c r="I33" s="5">
        <f t="shared" si="0"/>
        <v>579</v>
      </c>
      <c r="N33" s="5" t="str">
        <f>IF(A34="","",A34)</f>
        <v>California</v>
      </c>
      <c r="O33" s="5" t="str">
        <f>IF(B34="","",B34)</f>
        <v>Alameda County</v>
      </c>
      <c r="P33" s="8">
        <v>31884.999999999996</v>
      </c>
    </row>
    <row r="34" spans="1:16" x14ac:dyDescent="0.25">
      <c r="A34" t="s">
        <v>19</v>
      </c>
      <c r="B34" t="s">
        <v>115</v>
      </c>
      <c r="C34" s="8">
        <v>579</v>
      </c>
      <c r="D34" s="8">
        <v>31884.999999999996</v>
      </c>
      <c r="G34" s="5" t="str">
        <f t="shared" ref="G34:G90" si="1">IF(A35="","",A35)</f>
        <v>California</v>
      </c>
      <c r="H34" s="5" t="str">
        <f t="shared" ref="H34:H90" si="2">IF(B35="","",B35)</f>
        <v>Alpine County</v>
      </c>
      <c r="I34" s="5">
        <f t="shared" ref="I34:I90" si="3">IF(C35="","",C35)</f>
        <v>1</v>
      </c>
      <c r="N34" s="5" t="str">
        <f t="shared" ref="N34:N90" si="4">IF(A35="","",A35)</f>
        <v>California</v>
      </c>
      <c r="O34" s="5" t="str">
        <f t="shared" ref="O34:O90" si="5">IF(B35="","",B35)</f>
        <v>Alpine County</v>
      </c>
      <c r="P34" s="8">
        <v>10.9</v>
      </c>
    </row>
    <row r="35" spans="1:16" x14ac:dyDescent="0.25">
      <c r="A35" t="s">
        <v>19</v>
      </c>
      <c r="B35" t="s">
        <v>20</v>
      </c>
      <c r="C35" s="8">
        <v>1</v>
      </c>
      <c r="D35" s="8">
        <v>10.9</v>
      </c>
      <c r="G35" s="5" t="str">
        <f t="shared" si="1"/>
        <v>California</v>
      </c>
      <c r="H35" s="5" t="str">
        <f t="shared" si="2"/>
        <v>Amador County</v>
      </c>
      <c r="I35" s="5">
        <f t="shared" si="3"/>
        <v>9</v>
      </c>
      <c r="N35" s="5" t="str">
        <f t="shared" si="4"/>
        <v>California</v>
      </c>
      <c r="O35" s="5" t="str">
        <f t="shared" si="5"/>
        <v>Amador County</v>
      </c>
      <c r="P35" s="8">
        <v>800.3</v>
      </c>
    </row>
    <row r="36" spans="1:16" x14ac:dyDescent="0.25">
      <c r="A36" t="s">
        <v>19</v>
      </c>
      <c r="B36" t="s">
        <v>641</v>
      </c>
      <c r="C36" s="8">
        <v>9</v>
      </c>
      <c r="D36" s="8">
        <v>800.3</v>
      </c>
      <c r="G36" s="5" t="str">
        <f t="shared" si="1"/>
        <v>California</v>
      </c>
      <c r="H36" s="5" t="str">
        <f t="shared" si="2"/>
        <v>Butte County</v>
      </c>
      <c r="I36" s="5">
        <f t="shared" si="3"/>
        <v>35</v>
      </c>
      <c r="N36" s="5" t="str">
        <f t="shared" si="4"/>
        <v>California</v>
      </c>
      <c r="O36" s="5" t="str">
        <f t="shared" si="5"/>
        <v>Butte County</v>
      </c>
      <c r="P36" s="8">
        <v>1062.5999999999999</v>
      </c>
    </row>
    <row r="37" spans="1:16" x14ac:dyDescent="0.25">
      <c r="A37" t="s">
        <v>19</v>
      </c>
      <c r="B37" t="s">
        <v>967</v>
      </c>
      <c r="C37" s="8">
        <v>35</v>
      </c>
      <c r="D37" s="8">
        <v>1062.5999999999999</v>
      </c>
      <c r="G37" s="5" t="str">
        <f t="shared" si="1"/>
        <v>California</v>
      </c>
      <c r="H37" s="5" t="str">
        <f t="shared" si="2"/>
        <v>Calaveras County</v>
      </c>
      <c r="I37" s="5">
        <f t="shared" si="3"/>
        <v>12</v>
      </c>
      <c r="N37" s="5" t="str">
        <f t="shared" si="4"/>
        <v>California</v>
      </c>
      <c r="O37" s="5" t="str">
        <f t="shared" si="5"/>
        <v>Calaveras County</v>
      </c>
      <c r="P37" s="8">
        <v>326.20000000000005</v>
      </c>
    </row>
    <row r="38" spans="1:16" x14ac:dyDescent="0.25">
      <c r="A38" t="s">
        <v>19</v>
      </c>
      <c r="B38" t="s">
        <v>84</v>
      </c>
      <c r="C38" s="8">
        <v>12</v>
      </c>
      <c r="D38" s="8">
        <v>326.20000000000005</v>
      </c>
      <c r="G38" s="5" t="str">
        <f t="shared" si="1"/>
        <v>California</v>
      </c>
      <c r="H38" s="5" t="str">
        <f t="shared" si="2"/>
        <v>Colusa County</v>
      </c>
      <c r="I38" s="5">
        <f t="shared" si="3"/>
        <v>4</v>
      </c>
      <c r="N38" s="5" t="str">
        <f t="shared" si="4"/>
        <v>California</v>
      </c>
      <c r="O38" s="5" t="str">
        <f t="shared" si="5"/>
        <v>Colusa County</v>
      </c>
      <c r="P38" s="8">
        <v>167.5</v>
      </c>
    </row>
    <row r="39" spans="1:16" x14ac:dyDescent="0.25">
      <c r="A39" t="s">
        <v>19</v>
      </c>
      <c r="B39" t="s">
        <v>1383</v>
      </c>
      <c r="C39" s="8">
        <v>4</v>
      </c>
      <c r="D39" s="8">
        <v>167.5</v>
      </c>
      <c r="G39" s="5" t="str">
        <f t="shared" si="1"/>
        <v>California</v>
      </c>
      <c r="H39" s="5" t="str">
        <f t="shared" si="2"/>
        <v>Contra Costa County</v>
      </c>
      <c r="I39" s="5">
        <f t="shared" si="3"/>
        <v>341</v>
      </c>
      <c r="N39" s="5" t="str">
        <f t="shared" si="4"/>
        <v>California</v>
      </c>
      <c r="O39" s="5" t="str">
        <f t="shared" si="5"/>
        <v>Contra Costa County</v>
      </c>
      <c r="P39" s="8">
        <v>16168.7</v>
      </c>
    </row>
    <row r="40" spans="1:16" x14ac:dyDescent="0.25">
      <c r="A40" t="s">
        <v>19</v>
      </c>
      <c r="B40" t="s">
        <v>24</v>
      </c>
      <c r="C40" s="8">
        <v>341</v>
      </c>
      <c r="D40" s="8">
        <v>16168.7</v>
      </c>
      <c r="G40" s="5" t="str">
        <f t="shared" si="1"/>
        <v>California</v>
      </c>
      <c r="H40" s="5" t="str">
        <f t="shared" si="2"/>
        <v>Del Norte County</v>
      </c>
      <c r="I40" s="5">
        <f t="shared" si="3"/>
        <v>13</v>
      </c>
      <c r="N40" s="5" t="str">
        <f t="shared" si="4"/>
        <v>California</v>
      </c>
      <c r="O40" s="5" t="str">
        <f t="shared" si="5"/>
        <v>Del Norte County</v>
      </c>
      <c r="P40" s="8">
        <v>322.40000000000003</v>
      </c>
    </row>
    <row r="41" spans="1:16" x14ac:dyDescent="0.25">
      <c r="A41" t="s">
        <v>19</v>
      </c>
      <c r="B41" t="s">
        <v>2204</v>
      </c>
      <c r="C41" s="8">
        <v>13</v>
      </c>
      <c r="D41" s="8">
        <v>322.40000000000003</v>
      </c>
      <c r="G41" s="5" t="str">
        <f t="shared" si="1"/>
        <v>California</v>
      </c>
      <c r="H41" s="5" t="str">
        <f t="shared" si="2"/>
        <v>El Dorado County</v>
      </c>
      <c r="I41" s="5">
        <f t="shared" si="3"/>
        <v>31</v>
      </c>
      <c r="N41" s="5" t="str">
        <f t="shared" si="4"/>
        <v>California</v>
      </c>
      <c r="O41" s="5" t="str">
        <f t="shared" si="5"/>
        <v>El Dorado County</v>
      </c>
      <c r="P41" s="8">
        <v>2092.8000000000002</v>
      </c>
    </row>
    <row r="42" spans="1:16" x14ac:dyDescent="0.25">
      <c r="A42" t="s">
        <v>19</v>
      </c>
      <c r="B42" t="s">
        <v>437</v>
      </c>
      <c r="C42" s="8">
        <v>31</v>
      </c>
      <c r="D42" s="8">
        <v>2092.8000000000002</v>
      </c>
      <c r="G42" s="5" t="str">
        <f t="shared" si="1"/>
        <v>California</v>
      </c>
      <c r="H42" s="5" t="str">
        <f t="shared" si="2"/>
        <v>Fresno County</v>
      </c>
      <c r="I42" s="5">
        <f t="shared" si="3"/>
        <v>279</v>
      </c>
      <c r="N42" s="5" t="str">
        <f t="shared" si="4"/>
        <v>California</v>
      </c>
      <c r="O42" s="5" t="str">
        <f t="shared" si="5"/>
        <v>Fresno County</v>
      </c>
      <c r="P42" s="8">
        <v>12662.500000000002</v>
      </c>
    </row>
    <row r="43" spans="1:16" x14ac:dyDescent="0.25">
      <c r="A43" t="s">
        <v>19</v>
      </c>
      <c r="B43" t="s">
        <v>28</v>
      </c>
      <c r="C43" s="8">
        <v>279</v>
      </c>
      <c r="D43" s="8">
        <v>12662.500000000002</v>
      </c>
      <c r="G43" s="5" t="str">
        <f t="shared" si="1"/>
        <v>California</v>
      </c>
      <c r="H43" s="5" t="str">
        <f t="shared" si="2"/>
        <v>Glenn County</v>
      </c>
      <c r="I43" s="5">
        <f t="shared" si="3"/>
        <v>9</v>
      </c>
      <c r="N43" s="5" t="str">
        <f t="shared" si="4"/>
        <v>California</v>
      </c>
      <c r="O43" s="5" t="str">
        <f t="shared" si="5"/>
        <v>Glenn County</v>
      </c>
      <c r="P43" s="8">
        <v>343.2</v>
      </c>
    </row>
    <row r="44" spans="1:16" x14ac:dyDescent="0.25">
      <c r="A44" t="s">
        <v>19</v>
      </c>
      <c r="B44" t="s">
        <v>208</v>
      </c>
      <c r="C44" s="8">
        <v>9</v>
      </c>
      <c r="D44" s="8">
        <v>343.2</v>
      </c>
      <c r="G44" s="5" t="str">
        <f t="shared" si="1"/>
        <v>California</v>
      </c>
      <c r="H44" s="5" t="str">
        <f t="shared" si="2"/>
        <v>Humboldt County</v>
      </c>
      <c r="I44" s="5">
        <f t="shared" si="3"/>
        <v>49</v>
      </c>
      <c r="N44" s="5" t="str">
        <f t="shared" si="4"/>
        <v>California</v>
      </c>
      <c r="O44" s="5" t="str">
        <f t="shared" si="5"/>
        <v>Humboldt County</v>
      </c>
      <c r="P44" s="8">
        <v>2188.2999999999997</v>
      </c>
    </row>
    <row r="45" spans="1:16" x14ac:dyDescent="0.25">
      <c r="A45" t="s">
        <v>19</v>
      </c>
      <c r="B45" t="s">
        <v>587</v>
      </c>
      <c r="C45" s="8">
        <v>49</v>
      </c>
      <c r="D45" s="8">
        <v>2188.2999999999997</v>
      </c>
      <c r="G45" s="5" t="str">
        <f t="shared" si="1"/>
        <v>California</v>
      </c>
      <c r="H45" s="5" t="str">
        <f t="shared" si="2"/>
        <v>Imperial County</v>
      </c>
      <c r="I45" s="5">
        <f t="shared" si="3"/>
        <v>59</v>
      </c>
      <c r="N45" s="5" t="str">
        <f t="shared" si="4"/>
        <v>California</v>
      </c>
      <c r="O45" s="5" t="str">
        <f t="shared" si="5"/>
        <v>Imperial County</v>
      </c>
      <c r="P45" s="8">
        <v>2661.5999999999995</v>
      </c>
    </row>
    <row r="46" spans="1:16" x14ac:dyDescent="0.25">
      <c r="A46" t="s">
        <v>19</v>
      </c>
      <c r="B46" t="s">
        <v>331</v>
      </c>
      <c r="C46" s="8">
        <v>59</v>
      </c>
      <c r="D46" s="8">
        <v>2661.5999999999995</v>
      </c>
      <c r="G46" s="5" t="str">
        <f t="shared" si="1"/>
        <v>California</v>
      </c>
      <c r="H46" s="5" t="str">
        <f t="shared" si="2"/>
        <v>Inyo County</v>
      </c>
      <c r="I46" s="5">
        <f t="shared" si="3"/>
        <v>8</v>
      </c>
      <c r="N46" s="5" t="str">
        <f t="shared" si="4"/>
        <v>California</v>
      </c>
      <c r="O46" s="5" t="str">
        <f t="shared" si="5"/>
        <v>Inyo County</v>
      </c>
      <c r="P46" s="8">
        <v>887.5</v>
      </c>
    </row>
    <row r="47" spans="1:16" x14ac:dyDescent="0.25">
      <c r="A47" t="s">
        <v>19</v>
      </c>
      <c r="B47" t="s">
        <v>86</v>
      </c>
      <c r="C47" s="8">
        <v>8</v>
      </c>
      <c r="D47" s="8">
        <v>887.5</v>
      </c>
      <c r="G47" s="5" t="str">
        <f t="shared" si="1"/>
        <v>California</v>
      </c>
      <c r="H47" s="5" t="str">
        <f t="shared" si="2"/>
        <v>Kern County</v>
      </c>
      <c r="I47" s="5">
        <f t="shared" si="3"/>
        <v>222</v>
      </c>
      <c r="N47" s="5" t="str">
        <f t="shared" si="4"/>
        <v>California</v>
      </c>
      <c r="O47" s="5" t="str">
        <f t="shared" si="5"/>
        <v>Kern County</v>
      </c>
      <c r="P47" s="8">
        <v>11354.199999999993</v>
      </c>
    </row>
    <row r="48" spans="1:16" x14ac:dyDescent="0.25">
      <c r="A48" t="s">
        <v>19</v>
      </c>
      <c r="B48" t="s">
        <v>147</v>
      </c>
      <c r="C48" s="8">
        <v>222</v>
      </c>
      <c r="D48" s="8">
        <v>11354.199999999993</v>
      </c>
      <c r="G48" s="5" t="str">
        <f t="shared" si="1"/>
        <v>California</v>
      </c>
      <c r="H48" s="5" t="str">
        <f t="shared" si="2"/>
        <v>Kings County</v>
      </c>
      <c r="I48" s="5">
        <f t="shared" si="3"/>
        <v>36</v>
      </c>
      <c r="N48" s="5" t="str">
        <f t="shared" si="4"/>
        <v>California</v>
      </c>
      <c r="O48" s="5" t="str">
        <f t="shared" si="5"/>
        <v>Kings County</v>
      </c>
      <c r="P48" s="8">
        <v>1558.4</v>
      </c>
    </row>
    <row r="49" spans="1:16" x14ac:dyDescent="0.25">
      <c r="A49" t="s">
        <v>19</v>
      </c>
      <c r="B49" t="s">
        <v>334</v>
      </c>
      <c r="C49" s="8">
        <v>36</v>
      </c>
      <c r="D49" s="8">
        <v>1558.4</v>
      </c>
      <c r="G49" s="5" t="str">
        <f t="shared" si="1"/>
        <v>California</v>
      </c>
      <c r="H49" s="5" t="str">
        <f t="shared" si="2"/>
        <v>Lake County</v>
      </c>
      <c r="I49" s="5">
        <f t="shared" si="3"/>
        <v>30</v>
      </c>
      <c r="N49" s="5" t="str">
        <f t="shared" si="4"/>
        <v>California</v>
      </c>
      <c r="O49" s="5" t="str">
        <f t="shared" si="5"/>
        <v>Lake County</v>
      </c>
      <c r="P49" s="8">
        <v>2223.9</v>
      </c>
    </row>
    <row r="50" spans="1:16" x14ac:dyDescent="0.25">
      <c r="A50" t="s">
        <v>19</v>
      </c>
      <c r="B50" t="s">
        <v>949</v>
      </c>
      <c r="C50" s="8">
        <v>30</v>
      </c>
      <c r="D50" s="8">
        <v>2223.9</v>
      </c>
      <c r="G50" s="5" t="str">
        <f t="shared" si="1"/>
        <v>California</v>
      </c>
      <c r="H50" s="5" t="str">
        <f t="shared" si="2"/>
        <v>Lassen County</v>
      </c>
      <c r="I50" s="5">
        <f t="shared" si="3"/>
        <v>1</v>
      </c>
      <c r="N50" s="5" t="str">
        <f t="shared" si="4"/>
        <v>California</v>
      </c>
      <c r="O50" s="5" t="str">
        <f t="shared" si="5"/>
        <v>Lassen County</v>
      </c>
      <c r="P50" s="8">
        <v>26.2</v>
      </c>
    </row>
    <row r="51" spans="1:16" x14ac:dyDescent="0.25">
      <c r="A51" t="s">
        <v>19</v>
      </c>
      <c r="B51" t="s">
        <v>1426</v>
      </c>
      <c r="C51" s="8">
        <v>1</v>
      </c>
      <c r="D51" s="8">
        <v>26.2</v>
      </c>
      <c r="G51" s="5" t="str">
        <f t="shared" si="1"/>
        <v>California</v>
      </c>
      <c r="H51" s="5" t="str">
        <f t="shared" si="2"/>
        <v>Los Angeles County</v>
      </c>
      <c r="I51" s="5">
        <f t="shared" si="3"/>
        <v>3991</v>
      </c>
      <c r="N51" s="5" t="str">
        <f t="shared" si="4"/>
        <v>California</v>
      </c>
      <c r="O51" s="5" t="str">
        <f t="shared" si="5"/>
        <v>Los Angeles County</v>
      </c>
      <c r="P51" s="8">
        <v>215551.19999999981</v>
      </c>
    </row>
    <row r="52" spans="1:16" x14ac:dyDescent="0.25">
      <c r="A52" t="s">
        <v>19</v>
      </c>
      <c r="B52" t="s">
        <v>33</v>
      </c>
      <c r="C52" s="8">
        <v>3991</v>
      </c>
      <c r="D52" s="8">
        <v>215551.19999999981</v>
      </c>
      <c r="G52" s="5" t="str">
        <f t="shared" si="1"/>
        <v>California</v>
      </c>
      <c r="H52" s="5" t="str">
        <f t="shared" si="2"/>
        <v>Madera County</v>
      </c>
      <c r="I52" s="5">
        <f t="shared" si="3"/>
        <v>45</v>
      </c>
      <c r="N52" s="5" t="str">
        <f t="shared" si="4"/>
        <v>California</v>
      </c>
      <c r="O52" s="5" t="str">
        <f t="shared" si="5"/>
        <v>Madera County</v>
      </c>
      <c r="P52" s="8">
        <v>2687.3999999999996</v>
      </c>
    </row>
    <row r="53" spans="1:16" x14ac:dyDescent="0.25">
      <c r="A53" t="s">
        <v>19</v>
      </c>
      <c r="B53" t="s">
        <v>364</v>
      </c>
      <c r="C53" s="8">
        <v>45</v>
      </c>
      <c r="D53" s="8">
        <v>2687.3999999999996</v>
      </c>
      <c r="G53" s="5" t="str">
        <f t="shared" si="1"/>
        <v>California</v>
      </c>
      <c r="H53" s="5" t="str">
        <f t="shared" si="2"/>
        <v>Marin County</v>
      </c>
      <c r="I53" s="5">
        <f t="shared" si="3"/>
        <v>39</v>
      </c>
      <c r="N53" s="5" t="str">
        <f t="shared" si="4"/>
        <v>California</v>
      </c>
      <c r="O53" s="5" t="str">
        <f t="shared" si="5"/>
        <v>Marin County</v>
      </c>
      <c r="P53" s="8">
        <v>1463.3000000000002</v>
      </c>
    </row>
    <row r="54" spans="1:16" x14ac:dyDescent="0.25">
      <c r="A54" t="s">
        <v>19</v>
      </c>
      <c r="B54" t="s">
        <v>545</v>
      </c>
      <c r="C54" s="8">
        <v>39</v>
      </c>
      <c r="D54" s="8">
        <v>1463.3000000000002</v>
      </c>
      <c r="G54" s="5" t="str">
        <f t="shared" si="1"/>
        <v>California</v>
      </c>
      <c r="H54" s="5" t="str">
        <f t="shared" si="2"/>
        <v>Mariposa County</v>
      </c>
      <c r="I54" s="5">
        <f t="shared" si="3"/>
        <v>6</v>
      </c>
      <c r="N54" s="5" t="str">
        <f t="shared" si="4"/>
        <v>California</v>
      </c>
      <c r="O54" s="5" t="str">
        <f t="shared" si="5"/>
        <v>Mariposa County</v>
      </c>
      <c r="P54" s="8">
        <v>445.79999999999995</v>
      </c>
    </row>
    <row r="55" spans="1:16" x14ac:dyDescent="0.25">
      <c r="A55" t="s">
        <v>19</v>
      </c>
      <c r="B55" t="s">
        <v>416</v>
      </c>
      <c r="C55" s="8">
        <v>6</v>
      </c>
      <c r="D55" s="8">
        <v>445.79999999999995</v>
      </c>
      <c r="G55" s="5" t="str">
        <f t="shared" si="1"/>
        <v>California</v>
      </c>
      <c r="H55" s="5" t="str">
        <f t="shared" si="2"/>
        <v>Mendocino County</v>
      </c>
      <c r="I55" s="5">
        <f t="shared" si="3"/>
        <v>9</v>
      </c>
      <c r="N55" s="5" t="str">
        <f t="shared" si="4"/>
        <v>California</v>
      </c>
      <c r="O55" s="5" t="str">
        <f t="shared" si="5"/>
        <v>Mendocino County</v>
      </c>
      <c r="P55" s="8">
        <v>273.59999999999997</v>
      </c>
    </row>
    <row r="56" spans="1:16" x14ac:dyDescent="0.25">
      <c r="A56" t="s">
        <v>19</v>
      </c>
      <c r="B56" t="s">
        <v>258</v>
      </c>
      <c r="C56" s="8">
        <v>9</v>
      </c>
      <c r="D56" s="8">
        <v>273.59999999999997</v>
      </c>
      <c r="G56" s="5" t="str">
        <f t="shared" si="1"/>
        <v>California</v>
      </c>
      <c r="H56" s="5" t="str">
        <f t="shared" si="2"/>
        <v>Merced County</v>
      </c>
      <c r="I56" s="5">
        <f t="shared" si="3"/>
        <v>60</v>
      </c>
      <c r="N56" s="5" t="str">
        <f t="shared" si="4"/>
        <v>California</v>
      </c>
      <c r="O56" s="5" t="str">
        <f t="shared" si="5"/>
        <v>Merced County</v>
      </c>
      <c r="P56" s="8">
        <v>2690.4</v>
      </c>
    </row>
    <row r="57" spans="1:16" x14ac:dyDescent="0.25">
      <c r="A57" t="s">
        <v>19</v>
      </c>
      <c r="B57" t="s">
        <v>186</v>
      </c>
      <c r="C57" s="8">
        <v>60</v>
      </c>
      <c r="D57" s="8">
        <v>2690.4</v>
      </c>
      <c r="G57" s="5" t="str">
        <f t="shared" si="1"/>
        <v>California</v>
      </c>
      <c r="H57" s="5" t="str">
        <f t="shared" si="2"/>
        <v>Modoc County</v>
      </c>
      <c r="I57" s="5">
        <f t="shared" si="3"/>
        <v>2</v>
      </c>
      <c r="N57" s="5" t="str">
        <f t="shared" si="4"/>
        <v>California</v>
      </c>
      <c r="O57" s="5" t="str">
        <f t="shared" si="5"/>
        <v>Modoc County</v>
      </c>
      <c r="P57" s="8">
        <v>28.4</v>
      </c>
    </row>
    <row r="58" spans="1:16" x14ac:dyDescent="0.25">
      <c r="A58" t="s">
        <v>19</v>
      </c>
      <c r="B58" t="s">
        <v>392</v>
      </c>
      <c r="C58" s="8">
        <v>2</v>
      </c>
      <c r="D58" s="8">
        <v>28.4</v>
      </c>
      <c r="G58" s="5" t="str">
        <f t="shared" si="1"/>
        <v>California</v>
      </c>
      <c r="H58" s="5" t="str">
        <f t="shared" si="2"/>
        <v>Mono County</v>
      </c>
      <c r="I58" s="5">
        <f t="shared" si="3"/>
        <v>4</v>
      </c>
      <c r="N58" s="5" t="str">
        <f t="shared" si="4"/>
        <v>California</v>
      </c>
      <c r="O58" s="5" t="str">
        <f t="shared" si="5"/>
        <v>Mono County</v>
      </c>
      <c r="P58" s="8">
        <v>204.8</v>
      </c>
    </row>
    <row r="59" spans="1:16" x14ac:dyDescent="0.25">
      <c r="A59" t="s">
        <v>19</v>
      </c>
      <c r="B59" t="s">
        <v>670</v>
      </c>
      <c r="C59" s="8">
        <v>4</v>
      </c>
      <c r="D59" s="8">
        <v>204.8</v>
      </c>
      <c r="G59" s="5" t="str">
        <f t="shared" si="1"/>
        <v>California</v>
      </c>
      <c r="H59" s="5" t="str">
        <f t="shared" si="2"/>
        <v>Monterey County</v>
      </c>
      <c r="I59" s="5">
        <f t="shared" si="3"/>
        <v>31</v>
      </c>
      <c r="N59" s="5" t="str">
        <f t="shared" si="4"/>
        <v>California</v>
      </c>
      <c r="O59" s="5" t="str">
        <f t="shared" si="5"/>
        <v>Monterey County</v>
      </c>
      <c r="P59" s="8">
        <v>1607.8999999999999</v>
      </c>
    </row>
    <row r="60" spans="1:16" x14ac:dyDescent="0.25">
      <c r="A60" t="s">
        <v>19</v>
      </c>
      <c r="B60" t="s">
        <v>802</v>
      </c>
      <c r="C60" s="8">
        <v>31</v>
      </c>
      <c r="D60" s="8">
        <v>1607.8999999999999</v>
      </c>
      <c r="G60" s="5" t="str">
        <f t="shared" si="1"/>
        <v>California</v>
      </c>
      <c r="H60" s="5" t="str">
        <f t="shared" si="2"/>
        <v>Napa County</v>
      </c>
      <c r="I60" s="5">
        <f t="shared" si="3"/>
        <v>88</v>
      </c>
      <c r="N60" s="5" t="str">
        <f t="shared" si="4"/>
        <v>California</v>
      </c>
      <c r="O60" s="5" t="str">
        <f t="shared" si="5"/>
        <v>Napa County</v>
      </c>
      <c r="P60" s="8">
        <v>6444.9</v>
      </c>
    </row>
    <row r="61" spans="1:16" x14ac:dyDescent="0.25">
      <c r="A61" t="s">
        <v>19</v>
      </c>
      <c r="B61" t="s">
        <v>98</v>
      </c>
      <c r="C61" s="8">
        <v>88</v>
      </c>
      <c r="D61" s="8">
        <v>6444.9</v>
      </c>
      <c r="G61" s="5" t="str">
        <f t="shared" si="1"/>
        <v>California</v>
      </c>
      <c r="H61" s="5" t="str">
        <f t="shared" si="2"/>
        <v>Nevada County</v>
      </c>
      <c r="I61" s="5">
        <f t="shared" si="3"/>
        <v>25</v>
      </c>
      <c r="N61" s="5" t="str">
        <f t="shared" si="4"/>
        <v>California</v>
      </c>
      <c r="O61" s="5" t="str">
        <f t="shared" si="5"/>
        <v>Nevada County</v>
      </c>
      <c r="P61" s="8">
        <v>1809.3</v>
      </c>
    </row>
    <row r="62" spans="1:16" x14ac:dyDescent="0.25">
      <c r="A62" t="s">
        <v>19</v>
      </c>
      <c r="B62" t="s">
        <v>49</v>
      </c>
      <c r="C62" s="8">
        <v>25</v>
      </c>
      <c r="D62" s="8">
        <v>1809.3</v>
      </c>
      <c r="G62" s="5" t="str">
        <f t="shared" si="1"/>
        <v>California</v>
      </c>
      <c r="H62" s="5" t="str">
        <f t="shared" si="2"/>
        <v>Orange County</v>
      </c>
      <c r="I62" s="5">
        <f t="shared" si="3"/>
        <v>178</v>
      </c>
      <c r="N62" s="5" t="str">
        <f t="shared" si="4"/>
        <v>California</v>
      </c>
      <c r="O62" s="5" t="str">
        <f t="shared" si="5"/>
        <v>Orange County</v>
      </c>
      <c r="P62" s="8">
        <v>9680.399999999996</v>
      </c>
    </row>
    <row r="63" spans="1:16" x14ac:dyDescent="0.25">
      <c r="A63" t="s">
        <v>19</v>
      </c>
      <c r="B63" t="s">
        <v>188</v>
      </c>
      <c r="C63" s="8">
        <v>178</v>
      </c>
      <c r="D63" s="8">
        <v>9680.399999999996</v>
      </c>
      <c r="G63" s="5" t="str">
        <f t="shared" si="1"/>
        <v>California</v>
      </c>
      <c r="H63" s="5" t="str">
        <f t="shared" si="2"/>
        <v>Placer County</v>
      </c>
      <c r="I63" s="5">
        <f t="shared" si="3"/>
        <v>141</v>
      </c>
      <c r="N63" s="5" t="str">
        <f t="shared" si="4"/>
        <v>California</v>
      </c>
      <c r="O63" s="5" t="str">
        <f t="shared" si="5"/>
        <v>Placer County</v>
      </c>
      <c r="P63" s="8">
        <v>9414.7999999999993</v>
      </c>
    </row>
    <row r="64" spans="1:16" x14ac:dyDescent="0.25">
      <c r="A64" t="s">
        <v>19</v>
      </c>
      <c r="B64" t="s">
        <v>52</v>
      </c>
      <c r="C64" s="8">
        <v>141</v>
      </c>
      <c r="D64" s="8">
        <v>9414.7999999999993</v>
      </c>
      <c r="G64" s="5" t="str">
        <f t="shared" si="1"/>
        <v>California</v>
      </c>
      <c r="H64" s="5" t="str">
        <f t="shared" si="2"/>
        <v>Plumas County</v>
      </c>
      <c r="I64" s="5">
        <f t="shared" si="3"/>
        <v>6</v>
      </c>
      <c r="N64" s="5" t="str">
        <f t="shared" si="4"/>
        <v>California</v>
      </c>
      <c r="O64" s="5" t="str">
        <f t="shared" si="5"/>
        <v>Plumas County</v>
      </c>
      <c r="P64" s="8">
        <v>206.1</v>
      </c>
    </row>
    <row r="65" spans="1:16" x14ac:dyDescent="0.25">
      <c r="A65" t="s">
        <v>19</v>
      </c>
      <c r="B65" t="s">
        <v>338</v>
      </c>
      <c r="C65" s="8">
        <v>6</v>
      </c>
      <c r="D65" s="8">
        <v>206.1</v>
      </c>
      <c r="G65" s="5" t="str">
        <f t="shared" si="1"/>
        <v>California</v>
      </c>
      <c r="H65" s="5" t="str">
        <f t="shared" si="2"/>
        <v>Riverside County</v>
      </c>
      <c r="I65" s="5">
        <f t="shared" si="3"/>
        <v>178</v>
      </c>
      <c r="N65" s="5" t="str">
        <f t="shared" si="4"/>
        <v>California</v>
      </c>
      <c r="O65" s="5" t="str">
        <f t="shared" si="5"/>
        <v>Riverside County</v>
      </c>
      <c r="P65" s="8">
        <v>7691.3</v>
      </c>
    </row>
    <row r="66" spans="1:16" x14ac:dyDescent="0.25">
      <c r="A66" t="s">
        <v>19</v>
      </c>
      <c r="B66" t="s">
        <v>158</v>
      </c>
      <c r="C66" s="8">
        <v>178</v>
      </c>
      <c r="D66" s="8">
        <v>7691.3</v>
      </c>
      <c r="G66" s="5" t="str">
        <f t="shared" si="1"/>
        <v>California</v>
      </c>
      <c r="H66" s="5" t="str">
        <f t="shared" si="2"/>
        <v>Sacramento County</v>
      </c>
      <c r="I66" s="5">
        <f t="shared" si="3"/>
        <v>699</v>
      </c>
      <c r="N66" s="5" t="str">
        <f t="shared" si="4"/>
        <v>California</v>
      </c>
      <c r="O66" s="5" t="str">
        <f t="shared" si="5"/>
        <v>Sacramento County</v>
      </c>
      <c r="P66" s="8">
        <v>37784.900000000016</v>
      </c>
    </row>
    <row r="67" spans="1:16" x14ac:dyDescent="0.25">
      <c r="A67" t="s">
        <v>19</v>
      </c>
      <c r="B67" t="s">
        <v>55</v>
      </c>
      <c r="C67" s="8">
        <v>699</v>
      </c>
      <c r="D67" s="8">
        <v>37784.900000000016</v>
      </c>
      <c r="G67" s="5" t="str">
        <f t="shared" si="1"/>
        <v>California</v>
      </c>
      <c r="H67" s="5" t="str">
        <f t="shared" si="2"/>
        <v>San Benito County</v>
      </c>
      <c r="I67" s="5">
        <f t="shared" si="3"/>
        <v>23</v>
      </c>
      <c r="N67" s="5" t="str">
        <f t="shared" si="4"/>
        <v>California</v>
      </c>
      <c r="O67" s="5" t="str">
        <f t="shared" si="5"/>
        <v>San Benito County</v>
      </c>
      <c r="P67" s="8">
        <v>1129.7</v>
      </c>
    </row>
    <row r="68" spans="1:16" x14ac:dyDescent="0.25">
      <c r="A68" t="s">
        <v>19</v>
      </c>
      <c r="B68" t="s">
        <v>342</v>
      </c>
      <c r="C68" s="8">
        <v>23</v>
      </c>
      <c r="D68" s="8">
        <v>1129.7</v>
      </c>
      <c r="G68" s="5" t="str">
        <f t="shared" si="1"/>
        <v>California</v>
      </c>
      <c r="H68" s="5" t="str">
        <f t="shared" si="2"/>
        <v>San Bernardino County</v>
      </c>
      <c r="I68" s="5">
        <f t="shared" si="3"/>
        <v>356</v>
      </c>
      <c r="N68" s="5" t="str">
        <f t="shared" si="4"/>
        <v>California</v>
      </c>
      <c r="O68" s="5" t="str">
        <f t="shared" si="5"/>
        <v>San Bernardino County</v>
      </c>
      <c r="P68" s="8">
        <v>20988.9</v>
      </c>
    </row>
    <row r="69" spans="1:16" x14ac:dyDescent="0.25">
      <c r="A69" t="s">
        <v>19</v>
      </c>
      <c r="B69" t="s">
        <v>59</v>
      </c>
      <c r="C69" s="8">
        <v>356</v>
      </c>
      <c r="D69" s="8">
        <v>20988.9</v>
      </c>
      <c r="G69" s="5" t="str">
        <f t="shared" si="1"/>
        <v>California</v>
      </c>
      <c r="H69" s="5" t="str">
        <f t="shared" si="2"/>
        <v>San Diego County</v>
      </c>
      <c r="I69" s="5">
        <f t="shared" si="3"/>
        <v>1768</v>
      </c>
      <c r="N69" s="5" t="str">
        <f t="shared" si="4"/>
        <v>California</v>
      </c>
      <c r="O69" s="5" t="str">
        <f t="shared" si="5"/>
        <v>San Diego County</v>
      </c>
      <c r="P69" s="8">
        <v>98367.099999999977</v>
      </c>
    </row>
    <row r="70" spans="1:16" x14ac:dyDescent="0.25">
      <c r="A70" t="s">
        <v>19</v>
      </c>
      <c r="B70" t="s">
        <v>62</v>
      </c>
      <c r="C70" s="8">
        <v>1768</v>
      </c>
      <c r="D70" s="8">
        <v>98367.099999999977</v>
      </c>
      <c r="G70" s="5" t="str">
        <f t="shared" si="1"/>
        <v>California</v>
      </c>
      <c r="H70" s="5" t="str">
        <f t="shared" si="2"/>
        <v>San Francisco</v>
      </c>
      <c r="I70" s="5">
        <f t="shared" si="3"/>
        <v>307</v>
      </c>
      <c r="N70" s="5" t="str">
        <f t="shared" si="4"/>
        <v>California</v>
      </c>
      <c r="O70" s="5" t="str">
        <f t="shared" si="5"/>
        <v>San Francisco</v>
      </c>
      <c r="P70" s="8">
        <v>21911.9</v>
      </c>
    </row>
    <row r="71" spans="1:16" x14ac:dyDescent="0.25">
      <c r="A71" t="s">
        <v>19</v>
      </c>
      <c r="B71" t="s">
        <v>103</v>
      </c>
      <c r="C71" s="8">
        <v>307</v>
      </c>
      <c r="D71" s="8">
        <v>21911.9</v>
      </c>
      <c r="G71" s="5" t="str">
        <f t="shared" si="1"/>
        <v>California</v>
      </c>
      <c r="H71" s="5" t="str">
        <f t="shared" si="2"/>
        <v>San Joaquin County</v>
      </c>
      <c r="I71" s="5">
        <f t="shared" si="3"/>
        <v>117</v>
      </c>
      <c r="N71" s="5" t="str">
        <f t="shared" si="4"/>
        <v>California</v>
      </c>
      <c r="O71" s="5" t="str">
        <f t="shared" si="5"/>
        <v>San Joaquin County</v>
      </c>
      <c r="P71" s="8">
        <v>5441.2</v>
      </c>
    </row>
    <row r="72" spans="1:16" x14ac:dyDescent="0.25">
      <c r="A72" t="s">
        <v>19</v>
      </c>
      <c r="B72" t="s">
        <v>201</v>
      </c>
      <c r="C72" s="8">
        <v>117</v>
      </c>
      <c r="D72" s="8">
        <v>5441.2</v>
      </c>
      <c r="G72" s="5" t="str">
        <f t="shared" si="1"/>
        <v>California</v>
      </c>
      <c r="H72" s="5" t="str">
        <f t="shared" si="2"/>
        <v>San Luis Obispo County</v>
      </c>
      <c r="I72" s="5">
        <f t="shared" si="3"/>
        <v>13</v>
      </c>
      <c r="N72" s="5" t="str">
        <f t="shared" si="4"/>
        <v>California</v>
      </c>
      <c r="O72" s="5" t="str">
        <f t="shared" si="5"/>
        <v>San Luis Obispo County</v>
      </c>
      <c r="P72" s="8">
        <v>392.8</v>
      </c>
    </row>
    <row r="73" spans="1:16" x14ac:dyDescent="0.25">
      <c r="A73" t="s">
        <v>19</v>
      </c>
      <c r="B73" t="s">
        <v>429</v>
      </c>
      <c r="C73" s="8">
        <v>13</v>
      </c>
      <c r="D73" s="8">
        <v>392.8</v>
      </c>
      <c r="G73" s="5" t="str">
        <f t="shared" si="1"/>
        <v>California</v>
      </c>
      <c r="H73" s="5" t="str">
        <f t="shared" si="2"/>
        <v>San Mateo County</v>
      </c>
      <c r="I73" s="5">
        <f t="shared" si="3"/>
        <v>364</v>
      </c>
      <c r="N73" s="5" t="str">
        <f t="shared" si="4"/>
        <v>California</v>
      </c>
      <c r="O73" s="5" t="str">
        <f t="shared" si="5"/>
        <v>San Mateo County</v>
      </c>
      <c r="P73" s="8">
        <v>16172.000000000005</v>
      </c>
    </row>
    <row r="74" spans="1:16" x14ac:dyDescent="0.25">
      <c r="A74" t="s">
        <v>19</v>
      </c>
      <c r="B74" t="s">
        <v>72</v>
      </c>
      <c r="C74" s="8">
        <v>364</v>
      </c>
      <c r="D74" s="8">
        <v>16172.000000000005</v>
      </c>
      <c r="G74" s="5" t="str">
        <f t="shared" si="1"/>
        <v>California</v>
      </c>
      <c r="H74" s="5" t="str">
        <f t="shared" si="2"/>
        <v>Santa Barbara County</v>
      </c>
      <c r="I74" s="5">
        <f t="shared" si="3"/>
        <v>95</v>
      </c>
      <c r="N74" s="5" t="str">
        <f t="shared" si="4"/>
        <v>California</v>
      </c>
      <c r="O74" s="5" t="str">
        <f t="shared" si="5"/>
        <v>Santa Barbara County</v>
      </c>
      <c r="P74" s="8">
        <v>4334.9999999999991</v>
      </c>
    </row>
    <row r="75" spans="1:16" x14ac:dyDescent="0.25">
      <c r="A75" t="s">
        <v>19</v>
      </c>
      <c r="B75" t="s">
        <v>74</v>
      </c>
      <c r="C75" s="8">
        <v>95</v>
      </c>
      <c r="D75" s="8">
        <v>4334.9999999999991</v>
      </c>
      <c r="G75" s="5" t="str">
        <f t="shared" si="1"/>
        <v>California</v>
      </c>
      <c r="H75" s="5" t="str">
        <f t="shared" si="2"/>
        <v>Santa Clara County</v>
      </c>
      <c r="I75" s="5">
        <f t="shared" si="3"/>
        <v>737</v>
      </c>
      <c r="N75" s="5" t="str">
        <f t="shared" si="4"/>
        <v>California</v>
      </c>
      <c r="O75" s="5" t="str">
        <f t="shared" si="5"/>
        <v>Santa Clara County</v>
      </c>
      <c r="P75" s="8">
        <v>37449.000000000007</v>
      </c>
    </row>
    <row r="76" spans="1:16" x14ac:dyDescent="0.25">
      <c r="A76" t="s">
        <v>19</v>
      </c>
      <c r="B76" t="s">
        <v>77</v>
      </c>
      <c r="C76" s="8">
        <v>737</v>
      </c>
      <c r="D76" s="8">
        <v>37449.000000000007</v>
      </c>
      <c r="G76" s="5" t="str">
        <f t="shared" si="1"/>
        <v>California</v>
      </c>
      <c r="H76" s="5" t="str">
        <f t="shared" si="2"/>
        <v>Santa Cruz County</v>
      </c>
      <c r="I76" s="5">
        <f t="shared" si="3"/>
        <v>39</v>
      </c>
      <c r="N76" s="5" t="str">
        <f t="shared" si="4"/>
        <v>California</v>
      </c>
      <c r="O76" s="5" t="str">
        <f t="shared" si="5"/>
        <v>Santa Cruz County</v>
      </c>
      <c r="P76" s="8">
        <v>2447.5</v>
      </c>
    </row>
    <row r="77" spans="1:16" x14ac:dyDescent="0.25">
      <c r="A77" t="s">
        <v>19</v>
      </c>
      <c r="B77" t="s">
        <v>309</v>
      </c>
      <c r="C77" s="8">
        <v>39</v>
      </c>
      <c r="D77" s="8">
        <v>2447.5</v>
      </c>
      <c r="G77" s="5" t="str">
        <f t="shared" si="1"/>
        <v>California</v>
      </c>
      <c r="H77" s="5" t="str">
        <f t="shared" si="2"/>
        <v>Shasta County</v>
      </c>
      <c r="I77" s="5">
        <f t="shared" si="3"/>
        <v>56</v>
      </c>
      <c r="N77" s="5" t="str">
        <f t="shared" si="4"/>
        <v>California</v>
      </c>
      <c r="O77" s="5" t="str">
        <f t="shared" si="5"/>
        <v>Shasta County</v>
      </c>
      <c r="P77" s="8">
        <v>3391.1</v>
      </c>
    </row>
    <row r="78" spans="1:16" x14ac:dyDescent="0.25">
      <c r="A78" t="s">
        <v>19</v>
      </c>
      <c r="B78" t="s">
        <v>1116</v>
      </c>
      <c r="C78" s="8">
        <v>56</v>
      </c>
      <c r="D78" s="8">
        <v>3391.1</v>
      </c>
      <c r="G78" s="5" t="str">
        <f t="shared" si="1"/>
        <v>California</v>
      </c>
      <c r="H78" s="5" t="str">
        <f t="shared" si="2"/>
        <v>Sierra County</v>
      </c>
      <c r="I78" s="5">
        <f t="shared" si="3"/>
        <v>2</v>
      </c>
      <c r="N78" s="5" t="str">
        <f t="shared" si="4"/>
        <v>California</v>
      </c>
      <c r="O78" s="5" t="str">
        <f t="shared" si="5"/>
        <v>Sierra County</v>
      </c>
      <c r="P78" s="8">
        <v>30.8</v>
      </c>
    </row>
    <row r="79" spans="1:16" x14ac:dyDescent="0.25">
      <c r="A79" t="s">
        <v>19</v>
      </c>
      <c r="B79" t="s">
        <v>700</v>
      </c>
      <c r="C79" s="8">
        <v>2</v>
      </c>
      <c r="D79" s="8">
        <v>30.8</v>
      </c>
      <c r="G79" s="5" t="str">
        <f t="shared" si="1"/>
        <v>California</v>
      </c>
      <c r="H79" s="5" t="str">
        <f t="shared" si="2"/>
        <v>Siskiyou County</v>
      </c>
      <c r="I79" s="5">
        <f t="shared" si="3"/>
        <v>8</v>
      </c>
      <c r="N79" s="5" t="str">
        <f t="shared" si="4"/>
        <v>California</v>
      </c>
      <c r="O79" s="5" t="str">
        <f t="shared" si="5"/>
        <v>Siskiyou County</v>
      </c>
      <c r="P79" s="8">
        <v>332.3</v>
      </c>
    </row>
    <row r="80" spans="1:16" x14ac:dyDescent="0.25">
      <c r="A80" t="s">
        <v>19</v>
      </c>
      <c r="B80" t="s">
        <v>268</v>
      </c>
      <c r="C80" s="8">
        <v>8</v>
      </c>
      <c r="D80" s="8">
        <v>332.3</v>
      </c>
      <c r="G80" s="5" t="str">
        <f t="shared" si="1"/>
        <v>California</v>
      </c>
      <c r="H80" s="5" t="str">
        <f t="shared" si="2"/>
        <v>Solano County</v>
      </c>
      <c r="I80" s="5">
        <f t="shared" si="3"/>
        <v>52</v>
      </c>
      <c r="N80" s="5" t="str">
        <f t="shared" si="4"/>
        <v>California</v>
      </c>
      <c r="O80" s="5" t="str">
        <f t="shared" si="5"/>
        <v>Solano County</v>
      </c>
      <c r="P80" s="8">
        <v>3175.9999999999995</v>
      </c>
    </row>
    <row r="81" spans="1:16" x14ac:dyDescent="0.25">
      <c r="A81" t="s">
        <v>19</v>
      </c>
      <c r="B81" t="s">
        <v>377</v>
      </c>
      <c r="C81" s="8">
        <v>52</v>
      </c>
      <c r="D81" s="8">
        <v>3175.9999999999995</v>
      </c>
      <c r="G81" s="5" t="str">
        <f t="shared" si="1"/>
        <v>California</v>
      </c>
      <c r="H81" s="5" t="str">
        <f t="shared" si="2"/>
        <v>Sonoma County</v>
      </c>
      <c r="I81" s="5">
        <f t="shared" si="3"/>
        <v>295</v>
      </c>
      <c r="N81" s="5" t="str">
        <f t="shared" si="4"/>
        <v>California</v>
      </c>
      <c r="O81" s="5" t="str">
        <f t="shared" si="5"/>
        <v>Sonoma County</v>
      </c>
      <c r="P81" s="8">
        <v>20939.600000000002</v>
      </c>
    </row>
    <row r="82" spans="1:16" x14ac:dyDescent="0.25">
      <c r="A82" t="s">
        <v>19</v>
      </c>
      <c r="B82" t="s">
        <v>108</v>
      </c>
      <c r="C82" s="8">
        <v>295</v>
      </c>
      <c r="D82" s="8">
        <v>20939.600000000002</v>
      </c>
      <c r="G82" s="5" t="str">
        <f t="shared" si="1"/>
        <v>California</v>
      </c>
      <c r="H82" s="5" t="str">
        <f t="shared" si="2"/>
        <v>Stanislaus County</v>
      </c>
      <c r="I82" s="5">
        <f t="shared" si="3"/>
        <v>195</v>
      </c>
      <c r="N82" s="5" t="str">
        <f t="shared" si="4"/>
        <v>California</v>
      </c>
      <c r="O82" s="5" t="str">
        <f t="shared" si="5"/>
        <v>Stanislaus County</v>
      </c>
      <c r="P82" s="8">
        <v>10185.899999999996</v>
      </c>
    </row>
    <row r="83" spans="1:16" x14ac:dyDescent="0.25">
      <c r="A83" t="s">
        <v>19</v>
      </c>
      <c r="B83" t="s">
        <v>110</v>
      </c>
      <c r="C83" s="8">
        <v>195</v>
      </c>
      <c r="D83" s="8">
        <v>10185.899999999996</v>
      </c>
      <c r="G83" s="5" t="str">
        <f t="shared" si="1"/>
        <v>California</v>
      </c>
      <c r="H83" s="5" t="str">
        <f t="shared" si="2"/>
        <v>Sutter County</v>
      </c>
      <c r="I83" s="5">
        <f t="shared" si="3"/>
        <v>20</v>
      </c>
      <c r="N83" s="5" t="str">
        <f t="shared" si="4"/>
        <v>California</v>
      </c>
      <c r="O83" s="5" t="str">
        <f t="shared" si="5"/>
        <v>Sutter County</v>
      </c>
      <c r="P83" s="8">
        <v>958.7</v>
      </c>
    </row>
    <row r="84" spans="1:16" x14ac:dyDescent="0.25">
      <c r="A84" t="s">
        <v>19</v>
      </c>
      <c r="B84" t="s">
        <v>292</v>
      </c>
      <c r="C84" s="8">
        <v>20</v>
      </c>
      <c r="D84" s="8">
        <v>958.7</v>
      </c>
      <c r="G84" s="5" t="str">
        <f t="shared" si="1"/>
        <v>California</v>
      </c>
      <c r="H84" s="5" t="str">
        <f t="shared" si="2"/>
        <v>Tehama County</v>
      </c>
      <c r="I84" s="5">
        <f t="shared" si="3"/>
        <v>6</v>
      </c>
      <c r="N84" s="5" t="str">
        <f t="shared" si="4"/>
        <v>California</v>
      </c>
      <c r="O84" s="5" t="str">
        <f t="shared" si="5"/>
        <v>Tehama County</v>
      </c>
      <c r="P84" s="8">
        <v>323</v>
      </c>
    </row>
    <row r="85" spans="1:16" x14ac:dyDescent="0.25">
      <c r="A85" t="s">
        <v>19</v>
      </c>
      <c r="B85" t="s">
        <v>79</v>
      </c>
      <c r="C85" s="8">
        <v>6</v>
      </c>
      <c r="D85" s="8">
        <v>323</v>
      </c>
      <c r="G85" s="5" t="str">
        <f t="shared" si="1"/>
        <v>California</v>
      </c>
      <c r="H85" s="5" t="str">
        <f t="shared" si="2"/>
        <v>Trinity County</v>
      </c>
      <c r="I85" s="5">
        <f t="shared" si="3"/>
        <v>5</v>
      </c>
      <c r="N85" s="5" t="str">
        <f t="shared" si="4"/>
        <v>California</v>
      </c>
      <c r="O85" s="5" t="str">
        <f t="shared" si="5"/>
        <v>Trinity County</v>
      </c>
      <c r="P85" s="8">
        <v>167.70000000000002</v>
      </c>
    </row>
    <row r="86" spans="1:16" x14ac:dyDescent="0.25">
      <c r="A86" t="s">
        <v>19</v>
      </c>
      <c r="B86" t="s">
        <v>608</v>
      </c>
      <c r="C86" s="8">
        <v>5</v>
      </c>
      <c r="D86" s="8">
        <v>167.70000000000002</v>
      </c>
      <c r="G86" s="5" t="str">
        <f t="shared" si="1"/>
        <v>California</v>
      </c>
      <c r="H86" s="5" t="str">
        <f t="shared" si="2"/>
        <v>Tulare County</v>
      </c>
      <c r="I86" s="5">
        <f t="shared" si="3"/>
        <v>94</v>
      </c>
      <c r="N86" s="5" t="str">
        <f t="shared" si="4"/>
        <v>California</v>
      </c>
      <c r="O86" s="5" t="str">
        <f t="shared" si="5"/>
        <v>Tulare County</v>
      </c>
      <c r="P86" s="8">
        <v>3978.5</v>
      </c>
    </row>
    <row r="87" spans="1:16" x14ac:dyDescent="0.25">
      <c r="A87" t="s">
        <v>19</v>
      </c>
      <c r="B87" t="s">
        <v>113</v>
      </c>
      <c r="C87" s="8">
        <v>94</v>
      </c>
      <c r="D87" s="8">
        <v>3978.5</v>
      </c>
      <c r="G87" s="5" t="str">
        <f t="shared" si="1"/>
        <v>California</v>
      </c>
      <c r="H87" s="5" t="str">
        <f t="shared" si="2"/>
        <v>Tuolumne County</v>
      </c>
      <c r="I87" s="5">
        <f t="shared" si="3"/>
        <v>28</v>
      </c>
      <c r="N87" s="5" t="str">
        <f t="shared" si="4"/>
        <v>California</v>
      </c>
      <c r="O87" s="5" t="str">
        <f t="shared" si="5"/>
        <v>Tuolumne County</v>
      </c>
      <c r="P87" s="8">
        <v>1405</v>
      </c>
    </row>
    <row r="88" spans="1:16" x14ac:dyDescent="0.25">
      <c r="A88" t="s">
        <v>19</v>
      </c>
      <c r="B88" t="s">
        <v>997</v>
      </c>
      <c r="C88" s="8">
        <v>28</v>
      </c>
      <c r="D88" s="8">
        <v>1405</v>
      </c>
      <c r="G88" s="5" t="str">
        <f t="shared" si="1"/>
        <v>California</v>
      </c>
      <c r="H88" s="5" t="str">
        <f t="shared" si="2"/>
        <v>Ventura County</v>
      </c>
      <c r="I88" s="5">
        <f t="shared" si="3"/>
        <v>179</v>
      </c>
      <c r="N88" s="5" t="str">
        <f t="shared" si="4"/>
        <v>California</v>
      </c>
      <c r="O88" s="5" t="str">
        <f t="shared" si="5"/>
        <v>Ventura County</v>
      </c>
      <c r="P88" s="8">
        <v>9869.0999999999985</v>
      </c>
    </row>
    <row r="89" spans="1:16" x14ac:dyDescent="0.25">
      <c r="A89" t="s">
        <v>19</v>
      </c>
      <c r="B89" t="s">
        <v>82</v>
      </c>
      <c r="C89" s="8">
        <v>179</v>
      </c>
      <c r="D89" s="8">
        <v>9869.0999999999985</v>
      </c>
      <c r="G89" s="5" t="str">
        <f t="shared" si="1"/>
        <v>California</v>
      </c>
      <c r="H89" s="5" t="str">
        <f t="shared" si="2"/>
        <v>Yolo County</v>
      </c>
      <c r="I89" s="5">
        <f t="shared" si="3"/>
        <v>15</v>
      </c>
      <c r="N89" s="5" t="str">
        <f t="shared" si="4"/>
        <v>California</v>
      </c>
      <c r="O89" s="5" t="str">
        <f t="shared" si="5"/>
        <v>Yolo County</v>
      </c>
      <c r="P89" s="8">
        <v>615.29999999999995</v>
      </c>
    </row>
    <row r="90" spans="1:16" x14ac:dyDescent="0.25">
      <c r="A90" t="s">
        <v>19</v>
      </c>
      <c r="B90" t="s">
        <v>243</v>
      </c>
      <c r="C90" s="8">
        <v>15</v>
      </c>
      <c r="D90" s="8">
        <v>615.29999999999995</v>
      </c>
      <c r="G90" s="5" t="str">
        <f t="shared" si="1"/>
        <v>California</v>
      </c>
      <c r="H90" s="5" t="str">
        <f t="shared" si="2"/>
        <v>Yuba County</v>
      </c>
      <c r="I90" s="5">
        <f t="shared" si="3"/>
        <v>3</v>
      </c>
      <c r="N90" s="5" t="str">
        <f t="shared" si="4"/>
        <v>California</v>
      </c>
      <c r="O90" s="5" t="str">
        <f t="shared" si="5"/>
        <v>Yuba County</v>
      </c>
      <c r="P90" s="8">
        <v>285</v>
      </c>
    </row>
    <row r="91" spans="1:16" x14ac:dyDescent="0.25">
      <c r="A91" t="s">
        <v>19</v>
      </c>
      <c r="B91" t="s">
        <v>1911</v>
      </c>
      <c r="C91" s="8">
        <v>3</v>
      </c>
      <c r="D91" s="8">
        <v>285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DCB73-1B63-4828-90B3-22B628FD6B7F}">
  <dimension ref="A1:O19"/>
  <sheetViews>
    <sheetView workbookViewId="0">
      <selection activeCell="B3" sqref="B3"/>
    </sheetView>
  </sheetViews>
  <sheetFormatPr defaultRowHeight="15" x14ac:dyDescent="0.25"/>
  <cols>
    <col min="1" max="1" width="13.42578125" bestFit="1" customWidth="1"/>
    <col min="2" max="2" width="14" bestFit="1" customWidth="1"/>
    <col min="9" max="9" width="14" bestFit="1" customWidth="1"/>
    <col min="10" max="10" width="16.85546875" bestFit="1" customWidth="1"/>
    <col min="11" max="12" width="4" bestFit="1" customWidth="1"/>
    <col min="13" max="13" width="5" bestFit="1" customWidth="1"/>
    <col min="14" max="14" width="4" bestFit="1" customWidth="1"/>
    <col min="15" max="15" width="11.28515625" bestFit="1" customWidth="1"/>
    <col min="16" max="40" width="9.28515625" bestFit="1" customWidth="1"/>
    <col min="41" max="97" width="9.7109375" bestFit="1" customWidth="1"/>
    <col min="98" max="98" width="11.28515625" bestFit="1" customWidth="1"/>
  </cols>
  <sheetData>
    <row r="1" spans="1:15" x14ac:dyDescent="0.25">
      <c r="A1" s="21" t="s">
        <v>2543</v>
      </c>
    </row>
    <row r="3" spans="1:15" x14ac:dyDescent="0.25">
      <c r="A3" s="6" t="s">
        <v>2519</v>
      </c>
      <c r="B3" t="s">
        <v>2521</v>
      </c>
    </row>
    <row r="4" spans="1:15" x14ac:dyDescent="0.25">
      <c r="A4" s="7">
        <v>0</v>
      </c>
      <c r="B4" s="8">
        <v>175</v>
      </c>
    </row>
    <row r="5" spans="1:15" x14ac:dyDescent="0.25">
      <c r="A5" s="7">
        <v>1</v>
      </c>
      <c r="B5" s="8">
        <v>888</v>
      </c>
    </row>
    <row r="6" spans="1:15" x14ac:dyDescent="0.25">
      <c r="A6" s="7">
        <v>2</v>
      </c>
      <c r="B6" s="8">
        <v>538</v>
      </c>
      <c r="I6" s="21" t="s">
        <v>2544</v>
      </c>
    </row>
    <row r="7" spans="1:15" x14ac:dyDescent="0.25">
      <c r="A7" s="7">
        <v>3</v>
      </c>
      <c r="B7" s="8">
        <v>344</v>
      </c>
    </row>
    <row r="8" spans="1:15" x14ac:dyDescent="0.25">
      <c r="A8" s="7">
        <v>4</v>
      </c>
      <c r="B8" s="8">
        <v>200</v>
      </c>
      <c r="I8" s="6" t="s">
        <v>2521</v>
      </c>
      <c r="J8" s="6" t="s">
        <v>2530</v>
      </c>
    </row>
    <row r="9" spans="1:15" x14ac:dyDescent="0.25">
      <c r="A9" s="7">
        <v>5</v>
      </c>
      <c r="B9" s="8">
        <v>94</v>
      </c>
      <c r="I9" s="6" t="s">
        <v>2519</v>
      </c>
      <c r="J9">
        <v>1</v>
      </c>
      <c r="K9">
        <v>2</v>
      </c>
      <c r="L9">
        <v>3</v>
      </c>
      <c r="M9">
        <v>4</v>
      </c>
      <c r="N9">
        <v>5</v>
      </c>
      <c r="O9" t="s">
        <v>2520</v>
      </c>
    </row>
    <row r="10" spans="1:15" x14ac:dyDescent="0.25">
      <c r="A10" s="7">
        <v>6</v>
      </c>
      <c r="B10" s="8">
        <v>51</v>
      </c>
      <c r="I10" s="7" t="s">
        <v>2545</v>
      </c>
      <c r="J10" s="8">
        <v>7</v>
      </c>
      <c r="K10" s="8">
        <v>37</v>
      </c>
      <c r="L10" s="8">
        <v>150</v>
      </c>
      <c r="M10" s="8">
        <v>312</v>
      </c>
      <c r="N10" s="8">
        <v>224</v>
      </c>
      <c r="O10" s="8">
        <v>730</v>
      </c>
    </row>
    <row r="11" spans="1:15" x14ac:dyDescent="0.25">
      <c r="A11" s="7">
        <v>7</v>
      </c>
      <c r="B11" s="8">
        <v>32</v>
      </c>
      <c r="I11" s="7" t="s">
        <v>2546</v>
      </c>
      <c r="J11" s="8">
        <v>8</v>
      </c>
      <c r="K11" s="8">
        <v>51</v>
      </c>
      <c r="L11" s="8">
        <v>182</v>
      </c>
      <c r="M11" s="8">
        <v>373</v>
      </c>
      <c r="N11" s="8">
        <v>247</v>
      </c>
      <c r="O11" s="8">
        <v>861</v>
      </c>
    </row>
    <row r="12" spans="1:15" x14ac:dyDescent="0.25">
      <c r="A12" s="7">
        <v>8</v>
      </c>
      <c r="B12" s="8">
        <v>23</v>
      </c>
      <c r="I12" s="7" t="s">
        <v>2547</v>
      </c>
      <c r="J12" s="8">
        <v>6</v>
      </c>
      <c r="K12" s="8">
        <v>39</v>
      </c>
      <c r="L12" s="8">
        <v>163</v>
      </c>
      <c r="M12" s="8">
        <v>351</v>
      </c>
      <c r="N12" s="8">
        <v>250</v>
      </c>
      <c r="O12" s="8">
        <v>809</v>
      </c>
    </row>
    <row r="13" spans="1:15" x14ac:dyDescent="0.25">
      <c r="A13" s="7">
        <v>9</v>
      </c>
      <c r="B13" s="8">
        <v>9</v>
      </c>
      <c r="I13" s="7" t="s">
        <v>2520</v>
      </c>
      <c r="J13" s="8">
        <v>21</v>
      </c>
      <c r="K13" s="8">
        <v>127</v>
      </c>
      <c r="L13" s="8">
        <v>495</v>
      </c>
      <c r="M13" s="8">
        <v>1036</v>
      </c>
      <c r="N13" s="8">
        <v>721</v>
      </c>
      <c r="O13" s="8">
        <v>2400</v>
      </c>
    </row>
    <row r="14" spans="1:15" x14ac:dyDescent="0.25">
      <c r="A14" s="7">
        <v>10</v>
      </c>
      <c r="B14" s="8">
        <v>8</v>
      </c>
    </row>
    <row r="15" spans="1:15" x14ac:dyDescent="0.25">
      <c r="A15" s="7">
        <v>11</v>
      </c>
      <c r="B15" s="8">
        <v>11</v>
      </c>
    </row>
    <row r="16" spans="1:15" x14ac:dyDescent="0.25">
      <c r="A16" s="7">
        <v>12</v>
      </c>
      <c r="B16" s="8">
        <v>4</v>
      </c>
    </row>
    <row r="17" spans="1:2" x14ac:dyDescent="0.25">
      <c r="A17" s="7">
        <v>13</v>
      </c>
      <c r="B17" s="8">
        <v>10</v>
      </c>
    </row>
    <row r="18" spans="1:2" x14ac:dyDescent="0.25">
      <c r="A18" s="7">
        <v>14</v>
      </c>
      <c r="B18" s="8">
        <v>13</v>
      </c>
    </row>
    <row r="19" spans="1:2" x14ac:dyDescent="0.25">
      <c r="A19" s="7" t="s">
        <v>2520</v>
      </c>
      <c r="B19" s="8">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 &amp; KPIs</vt:lpstr>
      <vt:lpstr>Data</vt:lpstr>
      <vt:lpstr>Dashboard</vt:lpstr>
      <vt:lpstr>Pivots</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Jacqui Letadi</cp:lastModifiedBy>
  <dcterms:created xsi:type="dcterms:W3CDTF">2025-06-13T02:42:26Z</dcterms:created>
  <dcterms:modified xsi:type="dcterms:W3CDTF">2026-03-26T13:08:04Z</dcterms:modified>
</cp:coreProperties>
</file>